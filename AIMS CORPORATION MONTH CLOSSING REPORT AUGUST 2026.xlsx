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-2026" sheetId="1" r:id="rId5"/>
    <sheet state="visible" name="July-2026" sheetId="2" r:id="rId6"/>
    <sheet state="visible" name="Agusut-2026" sheetId="3" r:id="rId7"/>
    <sheet state="visible" name="Copy of Agusut-2026" sheetId="4" r:id="rId8"/>
  </sheets>
  <definedNames/>
  <calcPr/>
</workbook>
</file>

<file path=xl/sharedStrings.xml><?xml version="1.0" encoding="utf-8"?>
<sst xmlns="http://schemas.openxmlformats.org/spreadsheetml/2006/main" count="1911" uniqueCount="170">
  <si>
    <t xml:space="preserve"> </t>
  </si>
  <si>
    <t>August Month Clossing 2026</t>
  </si>
  <si>
    <t>July Month Clossing 2026</t>
  </si>
  <si>
    <t xml:space="preserve">12 KG Empty Cylenders for Month Closing </t>
  </si>
  <si>
    <t xml:space="preserve">Details Of 12 KG Empty Cylenders Band &amp; Wearhouse Wise </t>
  </si>
  <si>
    <t>SL</t>
  </si>
  <si>
    <t xml:space="preserve">12 KG Empty </t>
  </si>
  <si>
    <t>Q'ty</t>
  </si>
  <si>
    <t>Signboard</t>
  </si>
  <si>
    <t>Rayerbagh</t>
  </si>
  <si>
    <t>Amuliya</t>
  </si>
  <si>
    <t>Postokhola</t>
  </si>
  <si>
    <t>Jatrabari</t>
  </si>
  <si>
    <t>Mongla</t>
  </si>
  <si>
    <t>X</t>
  </si>
  <si>
    <t>Y</t>
  </si>
  <si>
    <t>AyGAZ</t>
  </si>
  <si>
    <t>Bashundhara</t>
  </si>
  <si>
    <t>Beximco</t>
  </si>
  <si>
    <t>Bengal</t>
  </si>
  <si>
    <t>BM</t>
  </si>
  <si>
    <t>Delta</t>
  </si>
  <si>
    <t>91+21</t>
  </si>
  <si>
    <t>Dubai Bangla</t>
  </si>
  <si>
    <t>postogola+jurain</t>
  </si>
  <si>
    <t>Euro</t>
  </si>
  <si>
    <t>Fresh</t>
  </si>
  <si>
    <t>G Gas</t>
  </si>
  <si>
    <t>Green</t>
  </si>
  <si>
    <t>Jamuna</t>
  </si>
  <si>
    <t>JMI</t>
  </si>
  <si>
    <t>Laugf/Sun</t>
  </si>
  <si>
    <t>Navana</t>
  </si>
  <si>
    <t>Orion</t>
  </si>
  <si>
    <t>Omera</t>
  </si>
  <si>
    <t>Padda/Newaz</t>
  </si>
  <si>
    <t>Petromax</t>
  </si>
  <si>
    <t>Sena</t>
  </si>
  <si>
    <t>Super</t>
  </si>
  <si>
    <t>Teer</t>
  </si>
  <si>
    <t>TMSS</t>
  </si>
  <si>
    <t>Bin Habib</t>
  </si>
  <si>
    <t>Total</t>
  </si>
  <si>
    <t>Universal</t>
  </si>
  <si>
    <t>Uni Gas</t>
  </si>
  <si>
    <t>Uro lpg</t>
  </si>
  <si>
    <t>Jamuna Faibar</t>
  </si>
  <si>
    <t>Z</t>
  </si>
  <si>
    <t>Total 12 KG Empty Cylenders</t>
  </si>
  <si>
    <t xml:space="preserve">12 KG Refill Cylenders for Month Closing </t>
  </si>
  <si>
    <t xml:space="preserve">Details Of 12 KG Refill Cylenders Band &amp; Wearhouse Wise </t>
  </si>
  <si>
    <t>12 KG Refill</t>
  </si>
  <si>
    <t>Total 12 KG Refill Cylenders</t>
  </si>
  <si>
    <t>Total 12 KG Empty &amp; Refill Cylenders</t>
  </si>
  <si>
    <t xml:space="preserve">35 KG Empty Cylenders for Month Closing </t>
  </si>
  <si>
    <t xml:space="preserve">Details Of 35 KG Empty Cylenders Band &amp; Wearhouse Wise </t>
  </si>
  <si>
    <t xml:space="preserve">35 KG Empty </t>
  </si>
  <si>
    <t>264+1029</t>
  </si>
  <si>
    <t>Total Gaz</t>
  </si>
  <si>
    <t>Total 35 KG Empty Cylenders</t>
  </si>
  <si>
    <t xml:space="preserve">35 KG Refill Cylenders for Month Closing </t>
  </si>
  <si>
    <t xml:space="preserve">Details Of 35 KG Refill Cylenders Band &amp; Wearhouse Wise </t>
  </si>
  <si>
    <t>35 KG Refill</t>
  </si>
  <si>
    <t>Total 35 KG Refill Cylenders</t>
  </si>
  <si>
    <t>Total 35 KG Empty &amp; Refill Cylenders</t>
  </si>
  <si>
    <t xml:space="preserve">45 KG Empty Cylenders for Month Closing </t>
  </si>
  <si>
    <t xml:space="preserve">Details Of 45 KG Empty Cylenders Band &amp; Wearhouse Wise </t>
  </si>
  <si>
    <t xml:space="preserve">45 KG Empty </t>
  </si>
  <si>
    <t>Total 45 KG Empty Cylenders</t>
  </si>
  <si>
    <t xml:space="preserve">45 KG Refill Cylenders for Month Closing </t>
  </si>
  <si>
    <t xml:space="preserve">Details Of 45 KG Refill Cylenders Band &amp; Wearhouse Wise </t>
  </si>
  <si>
    <t>45 KG Refill</t>
  </si>
  <si>
    <t>Total 45 KG Refill Cylenders</t>
  </si>
  <si>
    <t>Total 45 KG Empty &amp; Refill Cylenders</t>
  </si>
  <si>
    <t xml:space="preserve">5.5 KG Empty Cylenders for Month Closing </t>
  </si>
  <si>
    <t xml:space="preserve">Details Of 5.5 KG Empty Cylenders Band &amp; Wearhouse Wise </t>
  </si>
  <si>
    <t xml:space="preserve">5.5 KG Empty
</t>
  </si>
  <si>
    <t>Total 5.5 KG Empty Cylenders</t>
  </si>
  <si>
    <t xml:space="preserve">5.5 KG Refill Cylenders for Month Closing </t>
  </si>
  <si>
    <t xml:space="preserve">Details Of 5.5 KG Refill Cylenders Band &amp; Wearhouse Wise </t>
  </si>
  <si>
    <t>Total 5.5 KG Refill Cylenders</t>
  </si>
  <si>
    <t>Total 5.5 KG Empty &amp; Refill Cylenders</t>
  </si>
  <si>
    <t xml:space="preserve">15 KG Empty Cylenders for Month Closing </t>
  </si>
  <si>
    <t xml:space="preserve">Details Of 15 KG Empty Cylenders Band &amp; Wearhouse Wise </t>
  </si>
  <si>
    <t xml:space="preserve">15 KG Empty
</t>
  </si>
  <si>
    <t>Total 15 KG Empty Cylenders</t>
  </si>
  <si>
    <t xml:space="preserve">15 KG Refill Cylenders for Month Closing </t>
  </si>
  <si>
    <t xml:space="preserve">Details Of 15 KG Refill Cylenders Band &amp; Wearhouse Wise </t>
  </si>
  <si>
    <t>Total 15 KG Refill Cylenders</t>
  </si>
  <si>
    <t>Total 15 KG Empty &amp; Refill Cylenders</t>
  </si>
  <si>
    <t xml:space="preserve">20 KG Empty Cylenders for Month Closing </t>
  </si>
  <si>
    <t xml:space="preserve">Details Of 20 KG Empty Cylenders Band &amp; Wearhouse Wise </t>
  </si>
  <si>
    <t xml:space="preserve">20 KG Empty
</t>
  </si>
  <si>
    <t>Total 20 KG Empty Cylenders</t>
  </si>
  <si>
    <t xml:space="preserve">20  KG Refill Cylenders for Month Closing </t>
  </si>
  <si>
    <t xml:space="preserve">Details Of 20 KG Refill Cylenders Band &amp; Wearhouse Wise </t>
  </si>
  <si>
    <t>Total 20 KG Refill Cylenders</t>
  </si>
  <si>
    <t>Total 20 KG Empty &amp; Refill Cylenders</t>
  </si>
  <si>
    <t xml:space="preserve">22 KG Empty Cylenders for Month Closing </t>
  </si>
  <si>
    <t xml:space="preserve">Details Of 22 KG Empty Cylenders Band &amp; Wearhouse Wise </t>
  </si>
  <si>
    <t xml:space="preserve">22 KG Empty
</t>
  </si>
  <si>
    <t>Total 22KG Empty Cylenders</t>
  </si>
  <si>
    <t xml:space="preserve">22 KG Refill Cylenders for Month Closing </t>
  </si>
  <si>
    <t xml:space="preserve">Details Of 22 KG Refill Cylenders Band &amp; Wearhouse Wise </t>
  </si>
  <si>
    <t>22 KG Empty</t>
  </si>
  <si>
    <t>Total 22 KG Refill Cylenders</t>
  </si>
  <si>
    <t xml:space="preserve">25KG Empty Cylenders for Month Closing </t>
  </si>
  <si>
    <t xml:space="preserve">Details Of 25 KG Empty Cylenders Band &amp; Wearhouse Wise </t>
  </si>
  <si>
    <t xml:space="preserve">25KG Empty
</t>
  </si>
  <si>
    <t>Omersa</t>
  </si>
  <si>
    <t>Total 25 KG Empty Cylenders</t>
  </si>
  <si>
    <t xml:space="preserve">25 KG Refill Cylenders for Month Closing </t>
  </si>
  <si>
    <t xml:space="preserve">Details Of 25 KG Refill Cylenders Band &amp; Wearhouse Wise </t>
  </si>
  <si>
    <t xml:space="preserve">25 KG Empty
</t>
  </si>
  <si>
    <t>Total 25 KG Refill Cylenders</t>
  </si>
  <si>
    <t xml:space="preserve">Total 25 KG Empty &amp; Refill Cylenders                </t>
  </si>
  <si>
    <t>Month Closing Total Cylenders Evaluation Form</t>
  </si>
  <si>
    <t xml:space="preserve">Month Closing Balance Sheet 				</t>
  </si>
  <si>
    <t>Description</t>
  </si>
  <si>
    <t xml:space="preserve">Quantity </t>
  </si>
  <si>
    <t>Total Tk</t>
  </si>
  <si>
    <t>Refill Gas Amount</t>
  </si>
  <si>
    <t>Cah In Hand</t>
  </si>
  <si>
    <t>Cash In Bank</t>
  </si>
  <si>
    <t>Total 22 KG Empty &amp; Refill Cylenders</t>
  </si>
  <si>
    <t>Total Multi Empty &amp; Refill Cylenders</t>
  </si>
  <si>
    <t>Closing Company DO</t>
  </si>
  <si>
    <t>Grand Total</t>
  </si>
  <si>
    <t>Grand Total Amount</t>
  </si>
  <si>
    <t>Details Cylinder</t>
  </si>
  <si>
    <t>Quantity</t>
  </si>
  <si>
    <t xml:space="preserve">1st August 2026 Opening </t>
  </si>
  <si>
    <t xml:space="preserve">Purchess 12kg Pettromax from Jakaria </t>
  </si>
  <si>
    <t>12 KG</t>
  </si>
  <si>
    <t>35 KG</t>
  </si>
  <si>
    <t>45  KG</t>
  </si>
  <si>
    <t>Purchess Local Market AL imran 250 Pcs &amp; Self 150 Pcs</t>
  </si>
  <si>
    <t>Received Warehouse From Bondor (Anik) Pettromax 12kg</t>
  </si>
  <si>
    <t>Received Warehouse From Araihazar (Abdul Matin) 12kg</t>
  </si>
  <si>
    <t>Received Warehouse From Bhulta (Jakaria) Pettromax 12kg</t>
  </si>
  <si>
    <t xml:space="preserve">Total </t>
  </si>
  <si>
    <t>Transfer</t>
  </si>
  <si>
    <t>Market Deu</t>
  </si>
  <si>
    <t>Sales Pakege</t>
  </si>
  <si>
    <t>Grand Total Warehouse in Stock</t>
  </si>
  <si>
    <t xml:space="preserve">Description </t>
  </si>
  <si>
    <t>Total Amount</t>
  </si>
  <si>
    <t>July Previous Blance Opening 1st august</t>
  </si>
  <si>
    <t>Invest from Al-Imran</t>
  </si>
  <si>
    <t xml:space="preserve">Petromax Refilled (616 Pcs) from Jakaria </t>
  </si>
  <si>
    <t>Comission &amp; Transport  july</t>
  </si>
  <si>
    <t xml:space="preserve">Package Sales </t>
  </si>
  <si>
    <t>Total Opening</t>
  </si>
  <si>
    <t xml:space="preserve">31st August Closing &amp; September Opening </t>
  </si>
  <si>
    <t>Refill Gas Do Price</t>
  </si>
  <si>
    <t>Hand Cash</t>
  </si>
  <si>
    <t>Pending Comission august</t>
  </si>
  <si>
    <t>Empty Cylender Purchese</t>
  </si>
  <si>
    <t>Corporate Due</t>
  </si>
  <si>
    <t>Total  Closing</t>
  </si>
  <si>
    <t>Net Profit= Total Opening -Total Closing</t>
  </si>
  <si>
    <t>Closing Company DO TMSS LPG</t>
  </si>
  <si>
    <t>Details</t>
  </si>
  <si>
    <t>Purchess</t>
  </si>
  <si>
    <t>Purchess Local Market</t>
  </si>
  <si>
    <t>Received Warehouse From Bandar (Anik)</t>
  </si>
  <si>
    <t>Received Warehouse From Araihazar (Abdul Matin)</t>
  </si>
  <si>
    <t>Sales</t>
  </si>
  <si>
    <t>Comission &amp; Transport</t>
  </si>
  <si>
    <t>Pending Comission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</si>
</sst>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1.0"/>
      <color theme="1"/>
      <name val="Arial"/>
      <scheme val="minor"/>
    </font>
    <font/>
    <font>
      <b/>
      <sz val="11.0"/>
      <color rgb="FFFFFFFF"/>
      <name val="Arial"/>
      <scheme val="minor"/>
    </font>
    <font>
      <sz val="11.0"/>
      <color rgb="FFFFFFFF"/>
      <name val="Arial"/>
      <scheme val="minor"/>
    </font>
    <font>
      <b/>
      <sz val="11.0"/>
      <color rgb="FFFFFFFF"/>
      <name val="&quot;Times New Roman&quot;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&quot;Times New Roman&quot;"/>
    </font>
    <font>
      <sz val="12.0"/>
      <color rgb="FF000000"/>
      <name val="&quot;Times New Roman&quot;"/>
    </font>
    <font>
      <b/>
      <sz val="12.0"/>
      <color rgb="FF000000"/>
      <name val="&quot;Times New Roman&quot;"/>
    </font>
    <font>
      <b/>
      <sz val="11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Times New Roman"/>
    </font>
    <font>
      <sz val="11.0"/>
      <color rgb="FF000000"/>
      <name val="Times New Roman"/>
    </font>
    <font>
      <color theme="1"/>
      <name val="Times New Roman"/>
    </font>
    <font>
      <sz val="11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readingOrder="0"/>
    </xf>
    <xf borderId="0" fillId="2" fontId="4" numFmtId="0" xfId="0" applyFill="1" applyFont="1"/>
    <xf borderId="1" fillId="2" fontId="5" numFmtId="0" xfId="0" applyAlignment="1" applyBorder="1" applyFill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/>
    </xf>
    <xf borderId="5" fillId="0" fontId="7" numFmtId="0" xfId="0" applyBorder="1" applyFont="1"/>
    <xf borderId="4" fillId="0" fontId="8" numFmtId="0" xfId="0" applyAlignment="1" applyBorder="1" applyFont="1">
      <alignment horizontal="center" readingOrder="0" shrinkToFit="0" vertical="bottom" wrapText="0"/>
    </xf>
    <xf borderId="4" fillId="0" fontId="9" numFmtId="0" xfId="0" applyAlignment="1" applyBorder="1" applyFont="1">
      <alignment horizontal="center" readingOrder="0" shrinkToFit="0" vertical="bottom" wrapText="0"/>
    </xf>
    <xf borderId="4" fillId="0" fontId="9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readingOrder="0"/>
    </xf>
    <xf borderId="6" fillId="0" fontId="2" numFmtId="0" xfId="0" applyBorder="1" applyFont="1"/>
    <xf borderId="7" fillId="0" fontId="9" numFmtId="0" xfId="0" applyAlignment="1" applyBorder="1" applyFont="1">
      <alignment horizontal="center" readingOrder="0" vertical="bottom"/>
    </xf>
    <xf borderId="0" fillId="0" fontId="7" numFmtId="0" xfId="0" applyAlignment="1" applyFont="1">
      <alignment readingOrder="0"/>
    </xf>
    <xf borderId="6" fillId="0" fontId="9" numFmtId="0" xfId="0" applyAlignment="1" applyBorder="1" applyFont="1">
      <alignment horizontal="center" readingOrder="0" shrinkToFit="0" vertical="bottom" wrapText="0"/>
    </xf>
    <xf borderId="4" fillId="0" fontId="10" numFmtId="0" xfId="0" applyAlignment="1" applyBorder="1" applyFont="1">
      <alignment horizontal="center" readingOrder="0" vertical="bottom"/>
    </xf>
    <xf borderId="8" fillId="0" fontId="2" numFmtId="0" xfId="0" applyBorder="1" applyFont="1"/>
    <xf borderId="1" fillId="2" fontId="3" numFmtId="0" xfId="0" applyAlignment="1" applyBorder="1" applyFill="1" applyFont="1">
      <alignment readingOrder="0"/>
    </xf>
    <xf borderId="4" fillId="0" fontId="1" numFmtId="0" xfId="0" applyAlignment="1" applyBorder="1" applyFont="1">
      <alignment horizontal="center"/>
    </xf>
    <xf borderId="4" fillId="0" fontId="1" numFmtId="0" xfId="0" applyBorder="1" applyFont="1"/>
    <xf borderId="4" fillId="0" fontId="1" numFmtId="0" xfId="0" applyAlignment="1" applyBorder="1" applyFont="1">
      <alignment horizontal="center" readingOrder="0"/>
    </xf>
    <xf borderId="1" fillId="0" fontId="7" numFmtId="0" xfId="0" applyBorder="1" applyFont="1"/>
    <xf borderId="1" fillId="3" fontId="3" numFmtId="0" xfId="0" applyAlignment="1" applyBorder="1" applyFill="1" applyFont="1">
      <alignment horizontal="center" readingOrder="0"/>
    </xf>
    <xf borderId="4" fillId="3" fontId="4" numFmtId="0" xfId="0" applyBorder="1" applyFill="1" applyFont="1"/>
    <xf borderId="1" fillId="3" fontId="5" numFmtId="0" xfId="0" applyAlignment="1" applyBorder="1" applyFill="1" applyFont="1">
      <alignment horizontal="center" readingOrder="0" shrinkToFit="0" vertical="bottom" wrapText="0"/>
    </xf>
    <xf borderId="4" fillId="0" fontId="10" numFmtId="0" xfId="0" applyAlignment="1" applyBorder="1" applyFont="1">
      <alignment horizontal="center" readingOrder="0" shrinkToFit="0" vertical="bottom" wrapText="0"/>
    </xf>
    <xf borderId="0" fillId="0" fontId="6" numFmtId="0" xfId="0" applyFont="1"/>
    <xf borderId="7" fillId="0" fontId="10" numFmtId="0" xfId="0" applyAlignment="1" applyBorder="1" applyFont="1">
      <alignment horizontal="center" readingOrder="0" vertical="bottom"/>
    </xf>
    <xf borderId="1" fillId="3" fontId="3" numFmtId="0" xfId="0" applyAlignment="1" applyBorder="1" applyFill="1" applyFont="1">
      <alignment readingOrder="0"/>
    </xf>
    <xf borderId="1" fillId="4" fontId="11" numFmtId="0" xfId="0" applyAlignment="1" applyBorder="1" applyFill="1" applyFont="1">
      <alignment horizontal="left" readingOrder="0"/>
    </xf>
    <xf borderId="4" fillId="4" fontId="11" numFmtId="0" xfId="0" applyAlignment="1" applyBorder="1" applyFill="1" applyFont="1">
      <alignment horizontal="left" readingOrder="0"/>
    </xf>
    <xf borderId="4" fillId="4" fontId="11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horizontal="center"/>
    </xf>
    <xf borderId="1" fillId="2" fontId="3" numFmtId="0" xfId="0" applyAlignment="1" applyBorder="1" applyFill="1" applyFont="1">
      <alignment horizontal="left" readingOrder="0"/>
    </xf>
    <xf borderId="4" fillId="2" fontId="12" numFmtId="0" xfId="0" applyBorder="1" applyFill="1" applyFont="1"/>
    <xf borderId="6" fillId="0" fontId="10" numFmtId="0" xfId="0" applyAlignment="1" applyBorder="1" applyFont="1">
      <alignment horizontal="center" readingOrder="0" shrinkToFit="0" vertical="bottom" wrapText="0"/>
    </xf>
    <xf borderId="0" fillId="0" fontId="1" numFmtId="0" xfId="0" applyFont="1"/>
    <xf borderId="1" fillId="3" fontId="3" numFmtId="0" xfId="0" applyAlignment="1" applyBorder="1" applyFill="1" applyFont="1">
      <alignment horizontal="left" readingOrder="0"/>
    </xf>
    <xf borderId="4" fillId="3" fontId="12" numFmtId="0" xfId="0" applyBorder="1" applyFill="1" applyFont="1"/>
    <xf borderId="2" fillId="4" fontId="11" numFmtId="0" xfId="0" applyAlignment="1" applyBorder="1" applyFill="1" applyFont="1">
      <alignment horizontal="left" readingOrder="0"/>
    </xf>
    <xf borderId="4" fillId="2" fontId="13" numFmtId="0" xfId="0" applyBorder="1" applyFill="1" applyFont="1"/>
    <xf borderId="0" fillId="0" fontId="6" numFmtId="0" xfId="0" applyAlignment="1" applyFont="1">
      <alignment readingOrder="0"/>
    </xf>
    <xf borderId="4" fillId="0" fontId="14" numFmtId="0" xfId="0" applyAlignment="1" applyBorder="1" applyFont="1">
      <alignment horizontal="center"/>
    </xf>
    <xf borderId="1" fillId="0" fontId="11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4" fillId="2" fontId="7" numFmtId="0" xfId="0" applyBorder="1" applyFill="1" applyFont="1"/>
    <xf borderId="5" fillId="0" fontId="15" numFmtId="0" xfId="0" applyBorder="1" applyFont="1"/>
    <xf borderId="4" fillId="0" fontId="15" numFmtId="0" xfId="0" applyAlignment="1" applyBorder="1" applyFont="1">
      <alignment horizontal="center" readingOrder="0"/>
    </xf>
    <xf borderId="4" fillId="0" fontId="15" numFmtId="0" xfId="0" applyAlignment="1" applyBorder="1" applyFont="1">
      <alignment horizontal="center"/>
    </xf>
    <xf borderId="4" fillId="3" fontId="7" numFmtId="0" xfId="0" applyBorder="1" applyFill="1" applyFont="1"/>
    <xf borderId="4" fillId="0" fontId="1" numFmtId="0" xfId="0" applyAlignment="1" applyBorder="1" applyFont="1">
      <alignment horizontal="center" readingOrder="0" vertical="center"/>
    </xf>
    <xf borderId="5" fillId="0" fontId="15" numFmtId="0" xfId="0" applyAlignment="1" applyBorder="1" applyFont="1">
      <alignment vertical="center"/>
    </xf>
    <xf borderId="4" fillId="0" fontId="8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vertical="center"/>
    </xf>
    <xf borderId="1" fillId="0" fontId="6" numFmtId="0" xfId="0" applyAlignment="1" applyBorder="1" applyFont="1">
      <alignment readingOrder="0"/>
    </xf>
    <xf borderId="4" fillId="0" fontId="7" numFmtId="0" xfId="0" applyBorder="1" applyFont="1"/>
    <xf borderId="1" fillId="0" fontId="16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/>
    </xf>
    <xf borderId="4" fillId="0" fontId="16" numFmtId="0" xfId="0" applyAlignment="1" applyBorder="1" applyFont="1">
      <alignment horizontal="center" readingOrder="0"/>
    </xf>
    <xf borderId="1" fillId="0" fontId="16" numFmtId="0" xfId="0" applyAlignment="1" applyBorder="1" applyFont="1">
      <alignment readingOrder="0"/>
    </xf>
    <xf borderId="4" fillId="0" fontId="16" numFmtId="0" xfId="0" applyAlignment="1" applyBorder="1" applyFont="1">
      <alignment readingOrder="0"/>
    </xf>
    <xf borderId="1" fillId="4" fontId="17" numFmtId="0" xfId="0" applyAlignment="1" applyBorder="1" applyFill="1" applyFont="1">
      <alignment horizontal="left" readingOrder="0"/>
    </xf>
    <xf borderId="4" fillId="0" fontId="18" numFmtId="0" xfId="0" applyBorder="1" applyFont="1"/>
    <xf borderId="4" fillId="0" fontId="19" numFmtId="0" xfId="0" applyAlignment="1" applyBorder="1" applyFont="1">
      <alignment horizontal="center"/>
    </xf>
    <xf borderId="1" fillId="0" fontId="19" numFmtId="0" xfId="0" applyAlignment="1" applyBorder="1" applyFont="1">
      <alignment readingOrder="0"/>
    </xf>
    <xf borderId="4" fillId="0" fontId="19" numFmtId="0" xfId="0" applyAlignment="1" applyBorder="1" applyFont="1">
      <alignment readingOrder="0"/>
    </xf>
    <xf borderId="1" fillId="0" fontId="16" numFmtId="0" xfId="0" applyAlignment="1" applyBorder="1" applyFont="1">
      <alignment horizontal="right" readingOrder="0"/>
    </xf>
    <xf borderId="4" fillId="0" fontId="16" numFmtId="0" xfId="0" applyBorder="1" applyFont="1"/>
    <xf borderId="0" fillId="0" fontId="16" numFmtId="0" xfId="0" applyAlignment="1" applyFont="1">
      <alignment horizontal="center" readingOrder="0"/>
    </xf>
    <xf borderId="1" fillId="0" fontId="19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/>
    </xf>
    <xf borderId="4" fillId="0" fontId="7" numFmtId="0" xfId="0" applyAlignment="1" applyBorder="1" applyFont="1">
      <alignment horizontal="center"/>
    </xf>
    <xf borderId="1" fillId="0" fontId="7" numFmtId="0" xfId="0" applyAlignment="1" applyBorder="1" applyFont="1">
      <alignment readingOrder="0"/>
    </xf>
    <xf borderId="4" fillId="0" fontId="6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" fillId="0" fontId="19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right" readingOrder="0"/>
    </xf>
    <xf borderId="0" fillId="0" fontId="7" numFmtId="0" xfId="0" applyFont="1"/>
    <xf borderId="4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1.5"/>
    <col customWidth="1" min="3" max="3" width="14.38"/>
    <col customWidth="1" min="4" max="4" width="3.0"/>
    <col customWidth="1" min="11" max="11" width="11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3</v>
      </c>
      <c r="B2" s="2"/>
      <c r="C2" s="3"/>
      <c r="D2" s="5"/>
      <c r="E2" s="6" t="s">
        <v>4</v>
      </c>
      <c r="F2" s="2"/>
      <c r="G2" s="2"/>
      <c r="H2" s="2"/>
      <c r="I2" s="2"/>
      <c r="J2" s="2"/>
      <c r="K2" s="2"/>
      <c r="L2" s="3"/>
    </row>
    <row r="3">
      <c r="A3" s="7" t="s">
        <v>5</v>
      </c>
      <c r="B3" s="7" t="s">
        <v>6</v>
      </c>
      <c r="C3" s="7" t="s">
        <v>7</v>
      </c>
      <c r="D3" s="8"/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9" t="s">
        <v>13</v>
      </c>
      <c r="K3" s="9" t="s">
        <v>14</v>
      </c>
      <c r="L3" s="9" t="s">
        <v>15</v>
      </c>
    </row>
    <row r="4">
      <c r="A4" s="10">
        <v>1.0</v>
      </c>
      <c r="B4" s="11" t="s">
        <v>16</v>
      </c>
      <c r="C4" s="12">
        <f t="shared" ref="C4:C33" si="1">E4+F4+G4+H4+I4+J4+K4+L4</f>
        <v>406</v>
      </c>
      <c r="D4" s="13"/>
      <c r="E4" s="12">
        <v>348.0</v>
      </c>
      <c r="F4" s="12">
        <v>0.0</v>
      </c>
      <c r="G4" s="12">
        <v>0.0</v>
      </c>
      <c r="H4" s="12">
        <v>15.0</v>
      </c>
      <c r="I4" s="12">
        <v>43.0</v>
      </c>
      <c r="J4" s="12">
        <v>0.0</v>
      </c>
      <c r="K4" s="12">
        <v>0.0</v>
      </c>
      <c r="L4" s="12">
        <v>0.0</v>
      </c>
    </row>
    <row r="5">
      <c r="A5" s="10">
        <v>2.0</v>
      </c>
      <c r="B5" s="11" t="s">
        <v>17</v>
      </c>
      <c r="C5" s="12">
        <f t="shared" si="1"/>
        <v>173</v>
      </c>
      <c r="D5" s="13"/>
      <c r="E5" s="12">
        <v>1.0</v>
      </c>
      <c r="F5" s="12">
        <v>0.0</v>
      </c>
      <c r="G5" s="12">
        <v>0.0</v>
      </c>
      <c r="H5" s="12">
        <v>1.0</v>
      </c>
      <c r="I5" s="12">
        <v>0.0</v>
      </c>
      <c r="J5" s="12">
        <v>171.0</v>
      </c>
      <c r="K5" s="12">
        <v>0.0</v>
      </c>
      <c r="L5" s="12">
        <v>0.0</v>
      </c>
    </row>
    <row r="6">
      <c r="A6" s="10">
        <v>3.0</v>
      </c>
      <c r="B6" s="11" t="s">
        <v>18</v>
      </c>
      <c r="C6" s="12">
        <f t="shared" si="1"/>
        <v>1168</v>
      </c>
      <c r="D6" s="13"/>
      <c r="E6" s="12">
        <v>0.0</v>
      </c>
      <c r="F6" s="12">
        <v>1126.0</v>
      </c>
      <c r="G6" s="12">
        <v>0.0</v>
      </c>
      <c r="H6" s="12">
        <v>38.0</v>
      </c>
      <c r="I6" s="12">
        <v>3.0</v>
      </c>
      <c r="J6" s="12">
        <v>1.0</v>
      </c>
      <c r="K6" s="12">
        <v>0.0</v>
      </c>
      <c r="L6" s="12">
        <v>0.0</v>
      </c>
    </row>
    <row r="7">
      <c r="A7" s="10">
        <v>4.0</v>
      </c>
      <c r="B7" s="11" t="s">
        <v>19</v>
      </c>
      <c r="C7" s="12">
        <f t="shared" si="1"/>
        <v>252</v>
      </c>
      <c r="D7" s="13"/>
      <c r="E7" s="12">
        <v>205.0</v>
      </c>
      <c r="F7" s="12">
        <v>0.0</v>
      </c>
      <c r="G7" s="12">
        <v>0.0</v>
      </c>
      <c r="H7" s="12">
        <v>42.0</v>
      </c>
      <c r="I7" s="12">
        <v>0.0</v>
      </c>
      <c r="J7" s="12">
        <v>5.0</v>
      </c>
      <c r="K7" s="12">
        <v>0.0</v>
      </c>
      <c r="L7" s="12">
        <v>0.0</v>
      </c>
    </row>
    <row r="8">
      <c r="A8" s="10">
        <v>5.0</v>
      </c>
      <c r="B8" s="11" t="s">
        <v>20</v>
      </c>
      <c r="C8" s="12">
        <f t="shared" si="1"/>
        <v>1169</v>
      </c>
      <c r="D8" s="13"/>
      <c r="E8" s="12">
        <v>1163.0</v>
      </c>
      <c r="F8" s="12">
        <v>0.0</v>
      </c>
      <c r="G8" s="12">
        <v>0.0</v>
      </c>
      <c r="H8" s="12">
        <v>6.0</v>
      </c>
      <c r="I8" s="12">
        <v>0.0</v>
      </c>
      <c r="J8" s="12">
        <v>0.0</v>
      </c>
      <c r="K8" s="12">
        <v>0.0</v>
      </c>
      <c r="L8" s="12">
        <v>0.0</v>
      </c>
    </row>
    <row r="9">
      <c r="A9" s="10">
        <v>6.0</v>
      </c>
      <c r="B9" s="14" t="s">
        <v>21</v>
      </c>
      <c r="C9" s="12">
        <f t="shared" si="1"/>
        <v>38</v>
      </c>
      <c r="D9" s="13"/>
      <c r="E9" s="12">
        <v>0.0</v>
      </c>
      <c r="F9" s="12">
        <v>0.0</v>
      </c>
      <c r="G9" s="12">
        <v>0.0</v>
      </c>
      <c r="H9" s="12">
        <v>0.0</v>
      </c>
      <c r="I9" s="12">
        <v>0.0</v>
      </c>
      <c r="J9" s="12">
        <v>38.0</v>
      </c>
      <c r="K9" s="12">
        <v>0.0</v>
      </c>
      <c r="L9" s="12">
        <v>0.0</v>
      </c>
    </row>
    <row r="10">
      <c r="A10" s="10">
        <v>7.0</v>
      </c>
      <c r="B10" s="11" t="s">
        <v>23</v>
      </c>
      <c r="C10" s="12">
        <f t="shared" si="1"/>
        <v>7</v>
      </c>
      <c r="D10" s="13"/>
      <c r="E10" s="12">
        <v>0.0</v>
      </c>
      <c r="F10" s="12">
        <v>0.0</v>
      </c>
      <c r="G10" s="12">
        <v>0.0</v>
      </c>
      <c r="H10" s="12">
        <v>0.0</v>
      </c>
      <c r="I10" s="12">
        <v>0.0</v>
      </c>
      <c r="J10" s="12">
        <v>7.0</v>
      </c>
      <c r="K10" s="12">
        <v>0.0</v>
      </c>
      <c r="L10" s="12">
        <v>0.0</v>
      </c>
    </row>
    <row r="11">
      <c r="A11" s="10">
        <v>8.0</v>
      </c>
      <c r="B11" s="11" t="s">
        <v>25</v>
      </c>
      <c r="C11" s="12">
        <f t="shared" si="1"/>
        <v>4</v>
      </c>
      <c r="D11" s="13"/>
      <c r="E11" s="12">
        <v>0.0</v>
      </c>
      <c r="F11" s="12">
        <v>0.0</v>
      </c>
      <c r="G11" s="12">
        <v>0.0</v>
      </c>
      <c r="H11" s="12">
        <v>4.0</v>
      </c>
      <c r="I11" s="12">
        <v>0.0</v>
      </c>
      <c r="J11" s="12">
        <v>0.0</v>
      </c>
      <c r="K11" s="12">
        <v>0.0</v>
      </c>
      <c r="L11" s="12">
        <v>0.0</v>
      </c>
    </row>
    <row r="12">
      <c r="A12" s="10">
        <v>9.0</v>
      </c>
      <c r="B12" s="11" t="s">
        <v>26</v>
      </c>
      <c r="C12" s="12">
        <f t="shared" si="1"/>
        <v>315</v>
      </c>
      <c r="D12" s="13"/>
      <c r="E12" s="12">
        <v>173.0</v>
      </c>
      <c r="F12" s="12">
        <v>0.0</v>
      </c>
      <c r="G12" s="12">
        <v>0.0</v>
      </c>
      <c r="H12" s="12">
        <v>50.0</v>
      </c>
      <c r="I12" s="12">
        <v>36.0</v>
      </c>
      <c r="J12" s="12">
        <v>56.0</v>
      </c>
      <c r="K12" s="12">
        <v>0.0</v>
      </c>
      <c r="L12" s="12">
        <v>0.0</v>
      </c>
    </row>
    <row r="13">
      <c r="A13" s="10">
        <v>10.0</v>
      </c>
      <c r="B13" s="14" t="s">
        <v>27</v>
      </c>
      <c r="C13" s="12">
        <f t="shared" si="1"/>
        <v>43</v>
      </c>
      <c r="D13" s="13"/>
      <c r="E13" s="12">
        <v>34.0</v>
      </c>
      <c r="F13" s="12">
        <v>0.0</v>
      </c>
      <c r="G13" s="12">
        <v>0.0</v>
      </c>
      <c r="H13" s="12">
        <v>9.0</v>
      </c>
      <c r="I13" s="12">
        <v>0.0</v>
      </c>
      <c r="J13" s="12">
        <v>0.0</v>
      </c>
      <c r="K13" s="12">
        <v>0.0</v>
      </c>
      <c r="L13" s="12">
        <v>0.0</v>
      </c>
    </row>
    <row r="14">
      <c r="A14" s="10">
        <v>11.0</v>
      </c>
      <c r="B14" s="11" t="s">
        <v>28</v>
      </c>
      <c r="C14" s="12">
        <f t="shared" si="1"/>
        <v>406</v>
      </c>
      <c r="D14" s="13"/>
      <c r="E14" s="12">
        <v>117.0</v>
      </c>
      <c r="F14" s="12">
        <v>0.0</v>
      </c>
      <c r="G14" s="12">
        <v>0.0</v>
      </c>
      <c r="H14" s="12">
        <v>1.0</v>
      </c>
      <c r="I14" s="12">
        <v>0.0</v>
      </c>
      <c r="J14" s="12">
        <v>288.0</v>
      </c>
      <c r="K14" s="12">
        <v>0.0</v>
      </c>
      <c r="L14" s="12">
        <v>0.0</v>
      </c>
    </row>
    <row r="15">
      <c r="A15" s="10">
        <v>12.0</v>
      </c>
      <c r="B15" s="11" t="s">
        <v>29</v>
      </c>
      <c r="C15" s="12">
        <f t="shared" si="1"/>
        <v>334</v>
      </c>
      <c r="D15" s="13"/>
      <c r="E15" s="12">
        <v>0.0</v>
      </c>
      <c r="F15" s="12">
        <v>306.0</v>
      </c>
      <c r="G15" s="12">
        <v>0.0</v>
      </c>
      <c r="H15" s="12">
        <v>6.0</v>
      </c>
      <c r="I15" s="12">
        <v>0.0</v>
      </c>
      <c r="J15" s="12">
        <v>22.0</v>
      </c>
      <c r="K15" s="12">
        <v>0.0</v>
      </c>
      <c r="L15" s="12">
        <v>0.0</v>
      </c>
    </row>
    <row r="16">
      <c r="A16" s="10">
        <v>13.0</v>
      </c>
      <c r="B16" s="11" t="s">
        <v>30</v>
      </c>
      <c r="C16" s="12">
        <f t="shared" si="1"/>
        <v>79</v>
      </c>
      <c r="D16" s="13"/>
      <c r="E16" s="12">
        <v>1.0</v>
      </c>
      <c r="F16" s="12">
        <v>0.0</v>
      </c>
      <c r="G16" s="12">
        <v>0.0</v>
      </c>
      <c r="H16" s="12">
        <v>0.0</v>
      </c>
      <c r="I16" s="12">
        <v>0.0</v>
      </c>
      <c r="J16" s="12">
        <v>78.0</v>
      </c>
      <c r="K16" s="12">
        <v>0.0</v>
      </c>
      <c r="L16" s="12">
        <v>0.0</v>
      </c>
    </row>
    <row r="17">
      <c r="A17" s="10">
        <v>14.0</v>
      </c>
      <c r="B17" s="11" t="s">
        <v>31</v>
      </c>
      <c r="C17" s="12">
        <f t="shared" si="1"/>
        <v>28</v>
      </c>
      <c r="D17" s="13"/>
      <c r="E17" s="12">
        <v>5.0</v>
      </c>
      <c r="F17" s="12">
        <v>0.0</v>
      </c>
      <c r="G17" s="12">
        <v>0.0</v>
      </c>
      <c r="H17" s="12">
        <v>0.0</v>
      </c>
      <c r="I17" s="12">
        <v>0.0</v>
      </c>
      <c r="J17" s="12">
        <v>23.0</v>
      </c>
      <c r="K17" s="12">
        <v>0.0</v>
      </c>
      <c r="L17" s="12">
        <v>0.0</v>
      </c>
    </row>
    <row r="18">
      <c r="A18" s="10">
        <v>15.0</v>
      </c>
      <c r="B18" s="11" t="s">
        <v>32</v>
      </c>
      <c r="C18" s="12">
        <f t="shared" si="1"/>
        <v>49</v>
      </c>
      <c r="D18" s="13"/>
      <c r="E18" s="12">
        <v>0.0</v>
      </c>
      <c r="F18" s="12">
        <v>0.0</v>
      </c>
      <c r="G18" s="12">
        <v>0.0</v>
      </c>
      <c r="H18" s="12">
        <v>35.0</v>
      </c>
      <c r="I18" s="12">
        <v>0.0</v>
      </c>
      <c r="J18" s="12">
        <v>14.0</v>
      </c>
      <c r="K18" s="12">
        <v>0.0</v>
      </c>
      <c r="L18" s="12">
        <v>0.0</v>
      </c>
    </row>
    <row r="19">
      <c r="A19" s="10">
        <v>16.0</v>
      </c>
      <c r="B19" s="14" t="s">
        <v>33</v>
      </c>
      <c r="C19" s="12">
        <f t="shared" si="1"/>
        <v>61</v>
      </c>
      <c r="D19" s="13"/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61.0</v>
      </c>
      <c r="K19" s="12">
        <v>0.0</v>
      </c>
      <c r="L19" s="12">
        <v>0.0</v>
      </c>
    </row>
    <row r="20">
      <c r="A20" s="10">
        <v>17.0</v>
      </c>
      <c r="B20" s="14" t="s">
        <v>34</v>
      </c>
      <c r="C20" s="12">
        <f t="shared" si="1"/>
        <v>728</v>
      </c>
      <c r="D20" s="13"/>
      <c r="E20" s="12">
        <v>0.0</v>
      </c>
      <c r="F20" s="12">
        <v>194.0</v>
      </c>
      <c r="G20" s="12">
        <v>469.0</v>
      </c>
      <c r="H20" s="12">
        <v>0.0</v>
      </c>
      <c r="I20" s="12">
        <v>0.0</v>
      </c>
      <c r="J20" s="12">
        <v>65.0</v>
      </c>
      <c r="K20" s="12">
        <v>0.0</v>
      </c>
      <c r="L20" s="12">
        <v>0.0</v>
      </c>
    </row>
    <row r="21">
      <c r="A21" s="10">
        <v>18.0</v>
      </c>
      <c r="B21" s="14" t="s">
        <v>35</v>
      </c>
      <c r="C21" s="12">
        <f t="shared" si="1"/>
        <v>17</v>
      </c>
      <c r="D21" s="13"/>
      <c r="E21" s="12">
        <v>16.0</v>
      </c>
      <c r="F21" s="12">
        <v>0.0</v>
      </c>
      <c r="G21" s="12">
        <v>0.0</v>
      </c>
      <c r="H21" s="12">
        <v>1.0</v>
      </c>
      <c r="I21" s="12">
        <v>0.0</v>
      </c>
      <c r="J21" s="12">
        <v>0.0</v>
      </c>
      <c r="K21" s="12">
        <v>0.0</v>
      </c>
      <c r="L21" s="12">
        <v>0.0</v>
      </c>
    </row>
    <row r="22">
      <c r="A22" s="16">
        <v>19.0</v>
      </c>
      <c r="B22" s="11" t="s">
        <v>36</v>
      </c>
      <c r="C22" s="12">
        <f t="shared" si="1"/>
        <v>85</v>
      </c>
      <c r="D22" s="13"/>
      <c r="E22" s="12">
        <v>59.0</v>
      </c>
      <c r="F22" s="12">
        <v>0.0</v>
      </c>
      <c r="G22" s="12">
        <v>0.0</v>
      </c>
      <c r="H22" s="12">
        <v>21.0</v>
      </c>
      <c r="I22" s="12">
        <v>0.0</v>
      </c>
      <c r="J22" s="12">
        <v>5.0</v>
      </c>
      <c r="K22" s="12">
        <v>0.0</v>
      </c>
      <c r="L22" s="12">
        <v>0.0</v>
      </c>
    </row>
    <row r="23">
      <c r="A23" s="16">
        <v>20.0</v>
      </c>
      <c r="B23" s="14" t="s">
        <v>37</v>
      </c>
      <c r="C23" s="12">
        <f t="shared" si="1"/>
        <v>51</v>
      </c>
      <c r="D23" s="13"/>
      <c r="E23" s="12">
        <v>10.0</v>
      </c>
      <c r="F23" s="12">
        <v>0.0</v>
      </c>
      <c r="G23" s="12">
        <v>0.0</v>
      </c>
      <c r="H23" s="12">
        <v>0.0</v>
      </c>
      <c r="I23" s="12">
        <v>0.0</v>
      </c>
      <c r="J23" s="12">
        <v>41.0</v>
      </c>
      <c r="K23" s="12">
        <v>0.0</v>
      </c>
      <c r="L23" s="12">
        <v>0.0</v>
      </c>
    </row>
    <row r="24">
      <c r="A24" s="10">
        <v>21.0</v>
      </c>
      <c r="B24" s="11" t="s">
        <v>38</v>
      </c>
      <c r="C24" s="12">
        <f t="shared" si="1"/>
        <v>4</v>
      </c>
      <c r="D24" s="13"/>
      <c r="E24" s="12">
        <v>0.0</v>
      </c>
      <c r="F24" s="12">
        <v>0.0</v>
      </c>
      <c r="G24" s="12">
        <v>0.0</v>
      </c>
      <c r="H24" s="12">
        <v>4.0</v>
      </c>
      <c r="I24" s="12">
        <v>0.0</v>
      </c>
      <c r="J24" s="12">
        <v>0.0</v>
      </c>
      <c r="K24" s="12">
        <v>0.0</v>
      </c>
      <c r="L24" s="12">
        <v>0.0</v>
      </c>
    </row>
    <row r="25">
      <c r="A25" s="10">
        <v>22.0</v>
      </c>
      <c r="B25" s="11" t="s">
        <v>39</v>
      </c>
      <c r="C25" s="12">
        <f t="shared" si="1"/>
        <v>265</v>
      </c>
      <c r="D25" s="13"/>
      <c r="E25" s="12">
        <v>134.0</v>
      </c>
      <c r="F25" s="12">
        <v>0.0</v>
      </c>
      <c r="G25" s="12">
        <v>0.0</v>
      </c>
      <c r="H25" s="12">
        <v>131.0</v>
      </c>
      <c r="I25" s="12">
        <v>0.0</v>
      </c>
      <c r="J25" s="12">
        <v>0.0</v>
      </c>
      <c r="K25" s="12">
        <v>0.0</v>
      </c>
      <c r="L25" s="12">
        <v>0.0</v>
      </c>
    </row>
    <row r="26">
      <c r="A26" s="10">
        <v>23.0</v>
      </c>
      <c r="B26" s="14" t="s">
        <v>40</v>
      </c>
      <c r="C26" s="12">
        <f t="shared" si="1"/>
        <v>110</v>
      </c>
      <c r="D26" s="13"/>
      <c r="E26" s="12">
        <v>103.0</v>
      </c>
      <c r="F26" s="12">
        <v>2.0</v>
      </c>
      <c r="G26" s="12">
        <v>0.0</v>
      </c>
      <c r="H26" s="12">
        <v>0.0</v>
      </c>
      <c r="I26" s="12">
        <v>1.0</v>
      </c>
      <c r="J26" s="12">
        <v>4.0</v>
      </c>
      <c r="K26" s="12">
        <v>0.0</v>
      </c>
      <c r="L26" s="12">
        <v>0.0</v>
      </c>
    </row>
    <row r="27">
      <c r="A27" s="10">
        <v>24.0</v>
      </c>
      <c r="B27" s="14" t="s">
        <v>42</v>
      </c>
      <c r="C27" s="12">
        <f t="shared" si="1"/>
        <v>6</v>
      </c>
      <c r="D27" s="13"/>
      <c r="E27" s="12">
        <v>0.0</v>
      </c>
      <c r="F27" s="12">
        <v>0.0</v>
      </c>
      <c r="G27" s="12">
        <v>0.0</v>
      </c>
      <c r="H27" s="12">
        <v>0.0</v>
      </c>
      <c r="I27" s="12">
        <v>0.0</v>
      </c>
      <c r="J27" s="12">
        <v>6.0</v>
      </c>
      <c r="K27" s="12">
        <v>0.0</v>
      </c>
      <c r="L27" s="12">
        <v>0.0</v>
      </c>
    </row>
    <row r="28">
      <c r="A28" s="10">
        <v>25.0</v>
      </c>
      <c r="B28" s="14" t="s">
        <v>43</v>
      </c>
      <c r="C28" s="12">
        <f t="shared" si="1"/>
        <v>97</v>
      </c>
      <c r="D28" s="13"/>
      <c r="E28" s="12">
        <v>97.0</v>
      </c>
      <c r="F28" s="12">
        <v>0.0</v>
      </c>
      <c r="G28" s="12">
        <v>0.0</v>
      </c>
      <c r="H28" s="12">
        <v>0.0</v>
      </c>
      <c r="I28" s="12">
        <v>0.0</v>
      </c>
      <c r="J28" s="12">
        <v>0.0</v>
      </c>
      <c r="K28" s="12">
        <v>0.0</v>
      </c>
      <c r="L28" s="12">
        <v>0.0</v>
      </c>
    </row>
    <row r="29">
      <c r="A29" s="10">
        <v>26.0</v>
      </c>
      <c r="B29" s="11" t="s">
        <v>44</v>
      </c>
      <c r="C29" s="12">
        <f t="shared" si="1"/>
        <v>588</v>
      </c>
      <c r="D29" s="13"/>
      <c r="E29" s="12">
        <v>144.0</v>
      </c>
      <c r="F29" s="12">
        <v>245.0</v>
      </c>
      <c r="G29" s="12">
        <v>0.0</v>
      </c>
      <c r="H29" s="12">
        <v>199.0</v>
      </c>
      <c r="I29" s="12">
        <v>0.0</v>
      </c>
      <c r="J29" s="12">
        <v>0.0</v>
      </c>
      <c r="K29" s="12">
        <v>0.0</v>
      </c>
      <c r="L29" s="12">
        <v>0.0</v>
      </c>
    </row>
    <row r="30">
      <c r="A30" s="10">
        <v>27.0</v>
      </c>
      <c r="B30" s="11" t="s">
        <v>45</v>
      </c>
      <c r="C30" s="12">
        <f t="shared" si="1"/>
        <v>3</v>
      </c>
      <c r="D30" s="13"/>
      <c r="E30" s="12">
        <v>3.0</v>
      </c>
      <c r="F30" s="12">
        <v>0.0</v>
      </c>
      <c r="G30" s="12">
        <v>0.0</v>
      </c>
      <c r="H30" s="12">
        <v>0.0</v>
      </c>
      <c r="I30" s="12">
        <v>0.0</v>
      </c>
      <c r="J30" s="12">
        <v>0.0</v>
      </c>
      <c r="K30" s="12">
        <v>0.0</v>
      </c>
      <c r="L30" s="12">
        <v>0.0</v>
      </c>
    </row>
    <row r="31">
      <c r="A31" s="10">
        <v>28.0</v>
      </c>
      <c r="B31" s="17" t="s">
        <v>46</v>
      </c>
      <c r="C31" s="12">
        <f t="shared" si="1"/>
        <v>133</v>
      </c>
      <c r="D31" s="13"/>
      <c r="E31" s="12">
        <v>0.0</v>
      </c>
      <c r="F31" s="12">
        <v>128.0</v>
      </c>
      <c r="G31" s="12">
        <v>0.0</v>
      </c>
      <c r="H31" s="12">
        <v>0.0</v>
      </c>
      <c r="I31" s="12">
        <v>5.0</v>
      </c>
      <c r="J31" s="12">
        <v>0.0</v>
      </c>
      <c r="K31" s="12">
        <v>0.0</v>
      </c>
      <c r="L31" s="12">
        <v>0.0</v>
      </c>
    </row>
    <row r="32">
      <c r="A32" s="10">
        <v>29.0</v>
      </c>
      <c r="B32" s="11" t="s">
        <v>15</v>
      </c>
      <c r="C32" s="12">
        <f t="shared" si="1"/>
        <v>0</v>
      </c>
      <c r="D32" s="13"/>
      <c r="E32" s="12">
        <v>0.0</v>
      </c>
      <c r="F32" s="12">
        <v>0.0</v>
      </c>
      <c r="G32" s="12">
        <v>0.0</v>
      </c>
      <c r="H32" s="12">
        <v>0.0</v>
      </c>
      <c r="I32" s="12">
        <v>0.0</v>
      </c>
      <c r="J32" s="12">
        <v>0.0</v>
      </c>
      <c r="K32" s="12">
        <v>0.0</v>
      </c>
      <c r="L32" s="12">
        <v>0.0</v>
      </c>
    </row>
    <row r="33">
      <c r="A33" s="10">
        <v>30.0</v>
      </c>
      <c r="B33" s="11" t="s">
        <v>47</v>
      </c>
      <c r="C33" s="12">
        <f t="shared" si="1"/>
        <v>0</v>
      </c>
      <c r="D33" s="18"/>
      <c r="E33" s="12">
        <v>0.0</v>
      </c>
      <c r="F33" s="12">
        <v>0.0</v>
      </c>
      <c r="G33" s="12">
        <v>0.0</v>
      </c>
      <c r="H33" s="12">
        <v>0.0</v>
      </c>
      <c r="I33" s="12">
        <v>0.0</v>
      </c>
      <c r="J33" s="12">
        <v>0.0</v>
      </c>
      <c r="K33" s="12">
        <v>0.0</v>
      </c>
      <c r="L33" s="12">
        <v>0.0</v>
      </c>
    </row>
    <row r="34">
      <c r="A34" s="19" t="s">
        <v>48</v>
      </c>
      <c r="B34" s="3"/>
      <c r="C34" s="20">
        <f>SUM(C4:C33)</f>
        <v>6619</v>
      </c>
      <c r="D34" s="21"/>
      <c r="E34" s="20">
        <f t="shared" ref="E34:L34" si="2">SUM(E4:E33)</f>
        <v>2613</v>
      </c>
      <c r="F34" s="20">
        <f t="shared" si="2"/>
        <v>2001</v>
      </c>
      <c r="G34" s="20">
        <f t="shared" si="2"/>
        <v>469</v>
      </c>
      <c r="H34" s="20">
        <f t="shared" si="2"/>
        <v>563</v>
      </c>
      <c r="I34" s="20">
        <f t="shared" si="2"/>
        <v>88</v>
      </c>
      <c r="J34" s="20">
        <f t="shared" si="2"/>
        <v>885</v>
      </c>
      <c r="K34" s="20">
        <f t="shared" si="2"/>
        <v>0</v>
      </c>
      <c r="L34" s="20">
        <f t="shared" si="2"/>
        <v>0</v>
      </c>
    </row>
    <row r="35">
      <c r="A35" s="23"/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</row>
    <row r="36">
      <c r="A36" s="24" t="s">
        <v>49</v>
      </c>
      <c r="B36" s="2"/>
      <c r="C36" s="3"/>
      <c r="D36" s="25"/>
      <c r="E36" s="26" t="s">
        <v>50</v>
      </c>
      <c r="F36" s="2"/>
      <c r="G36" s="2"/>
      <c r="H36" s="2"/>
      <c r="I36" s="2"/>
      <c r="J36" s="2"/>
      <c r="K36" s="2"/>
      <c r="L36" s="3"/>
    </row>
    <row r="37">
      <c r="A37" s="7" t="s">
        <v>5</v>
      </c>
      <c r="B37" s="7" t="s">
        <v>51</v>
      </c>
      <c r="C37" s="7" t="s">
        <v>7</v>
      </c>
      <c r="D37" s="8"/>
      <c r="E37" s="9" t="s">
        <v>8</v>
      </c>
      <c r="F37" s="9" t="s">
        <v>9</v>
      </c>
      <c r="G37" s="9" t="s">
        <v>10</v>
      </c>
      <c r="H37" s="9" t="s">
        <v>11</v>
      </c>
      <c r="I37" s="9" t="s">
        <v>12</v>
      </c>
      <c r="J37" s="9" t="s">
        <v>13</v>
      </c>
      <c r="K37" s="9" t="s">
        <v>14</v>
      </c>
      <c r="L37" s="9" t="s">
        <v>15</v>
      </c>
    </row>
    <row r="38">
      <c r="A38" s="27">
        <v>1.0</v>
      </c>
      <c r="B38" s="17" t="s">
        <v>16</v>
      </c>
      <c r="C38" s="7">
        <f t="shared" ref="C38:C67" si="3">E38+F38+G38+H38+I38+J38+K38+L38</f>
        <v>9</v>
      </c>
      <c r="D38" s="13"/>
      <c r="E38" s="7">
        <v>0.0</v>
      </c>
      <c r="F38" s="7">
        <v>0.0</v>
      </c>
      <c r="G38" s="7">
        <v>0.0</v>
      </c>
      <c r="H38" s="7">
        <v>0.0</v>
      </c>
      <c r="I38" s="7">
        <v>9.0</v>
      </c>
      <c r="J38" s="7">
        <v>0.0</v>
      </c>
      <c r="K38" s="7">
        <v>0.0</v>
      </c>
      <c r="L38" s="7">
        <v>0.0</v>
      </c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10">
        <v>2.0</v>
      </c>
      <c r="B39" s="11" t="s">
        <v>17</v>
      </c>
      <c r="C39" s="12">
        <f t="shared" si="3"/>
        <v>0</v>
      </c>
      <c r="D39" s="13"/>
      <c r="E39" s="12">
        <v>0.0</v>
      </c>
      <c r="F39" s="12">
        <v>0.0</v>
      </c>
      <c r="G39" s="12">
        <v>0.0</v>
      </c>
      <c r="H39" s="12">
        <v>0.0</v>
      </c>
      <c r="I39" s="12">
        <v>0.0</v>
      </c>
      <c r="J39" s="12">
        <v>0.0</v>
      </c>
      <c r="K39" s="12">
        <v>0.0</v>
      </c>
      <c r="L39" s="12">
        <v>0.0</v>
      </c>
    </row>
    <row r="40">
      <c r="A40" s="27">
        <v>3.0</v>
      </c>
      <c r="B40" s="17" t="s">
        <v>18</v>
      </c>
      <c r="C40" s="7">
        <f t="shared" si="3"/>
        <v>16</v>
      </c>
      <c r="D40" s="13"/>
      <c r="E40" s="7">
        <v>0.0</v>
      </c>
      <c r="F40" s="7">
        <v>16.0</v>
      </c>
      <c r="G40" s="7">
        <v>0.0</v>
      </c>
      <c r="H40" s="7">
        <v>0.0</v>
      </c>
      <c r="I40" s="7">
        <v>0.0</v>
      </c>
      <c r="J40" s="7">
        <v>0.0</v>
      </c>
      <c r="K40" s="7">
        <v>0.0</v>
      </c>
      <c r="L40" s="7">
        <v>0.0</v>
      </c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>
      <c r="A41" s="10">
        <v>4.0</v>
      </c>
      <c r="B41" s="11" t="s">
        <v>19</v>
      </c>
      <c r="C41" s="12">
        <f t="shared" si="3"/>
        <v>0</v>
      </c>
      <c r="D41" s="13"/>
      <c r="E41" s="12">
        <v>0.0</v>
      </c>
      <c r="F41" s="12">
        <v>0.0</v>
      </c>
      <c r="G41" s="12">
        <v>0.0</v>
      </c>
      <c r="H41" s="12">
        <v>0.0</v>
      </c>
      <c r="I41" s="12">
        <v>0.0</v>
      </c>
      <c r="J41" s="12">
        <v>0.0</v>
      </c>
      <c r="K41" s="12">
        <v>0.0</v>
      </c>
      <c r="L41" s="12">
        <v>0.0</v>
      </c>
    </row>
    <row r="42">
      <c r="A42" s="10">
        <v>5.0</v>
      </c>
      <c r="B42" s="17" t="s">
        <v>20</v>
      </c>
      <c r="C42" s="7">
        <f t="shared" si="3"/>
        <v>11</v>
      </c>
      <c r="D42" s="13"/>
      <c r="E42" s="7">
        <v>11.0</v>
      </c>
      <c r="F42" s="12">
        <v>0.0</v>
      </c>
      <c r="G42" s="12">
        <v>0.0</v>
      </c>
      <c r="H42" s="12">
        <v>0.0</v>
      </c>
      <c r="I42" s="12">
        <v>0.0</v>
      </c>
      <c r="J42" s="12">
        <v>0.0</v>
      </c>
      <c r="K42" s="12">
        <v>0.0</v>
      </c>
      <c r="L42" s="12">
        <v>0.0</v>
      </c>
    </row>
    <row r="43">
      <c r="A43" s="10">
        <v>6.0</v>
      </c>
      <c r="B43" s="14" t="s">
        <v>21</v>
      </c>
      <c r="C43" s="12">
        <f t="shared" si="3"/>
        <v>0</v>
      </c>
      <c r="D43" s="13"/>
      <c r="E43" s="12">
        <v>0.0</v>
      </c>
      <c r="F43" s="12">
        <v>0.0</v>
      </c>
      <c r="G43" s="12">
        <v>0.0</v>
      </c>
      <c r="H43" s="12">
        <v>0.0</v>
      </c>
      <c r="I43" s="12">
        <v>0.0</v>
      </c>
      <c r="J43" s="12">
        <v>0.0</v>
      </c>
      <c r="K43" s="12">
        <v>0.0</v>
      </c>
      <c r="L43" s="12">
        <v>0.0</v>
      </c>
    </row>
    <row r="44">
      <c r="A44" s="10">
        <v>7.0</v>
      </c>
      <c r="B44" s="11" t="s">
        <v>23</v>
      </c>
      <c r="C44" s="12">
        <f t="shared" si="3"/>
        <v>0</v>
      </c>
      <c r="D44" s="13"/>
      <c r="E44" s="12">
        <v>0.0</v>
      </c>
      <c r="F44" s="12">
        <v>0.0</v>
      </c>
      <c r="G44" s="12">
        <v>0.0</v>
      </c>
      <c r="H44" s="12">
        <v>0.0</v>
      </c>
      <c r="I44" s="12">
        <v>0.0</v>
      </c>
      <c r="J44" s="12">
        <v>0.0</v>
      </c>
      <c r="K44" s="12">
        <v>0.0</v>
      </c>
      <c r="L44" s="12">
        <v>0.0</v>
      </c>
    </row>
    <row r="45">
      <c r="A45" s="10">
        <v>8.0</v>
      </c>
      <c r="B45" s="11" t="s">
        <v>25</v>
      </c>
      <c r="C45" s="12">
        <f t="shared" si="3"/>
        <v>0</v>
      </c>
      <c r="D45" s="13"/>
      <c r="E45" s="12">
        <v>0.0</v>
      </c>
      <c r="F45" s="12">
        <v>0.0</v>
      </c>
      <c r="G45" s="12">
        <v>0.0</v>
      </c>
      <c r="H45" s="12">
        <v>0.0</v>
      </c>
      <c r="I45" s="12">
        <v>0.0</v>
      </c>
      <c r="J45" s="12">
        <v>0.0</v>
      </c>
      <c r="K45" s="12">
        <v>0.0</v>
      </c>
      <c r="L45" s="12">
        <v>0.0</v>
      </c>
    </row>
    <row r="46">
      <c r="A46" s="10">
        <v>9.0</v>
      </c>
      <c r="B46" s="11" t="s">
        <v>26</v>
      </c>
      <c r="C46" s="12">
        <f t="shared" si="3"/>
        <v>0</v>
      </c>
      <c r="D46" s="13"/>
      <c r="E46" s="12">
        <v>0.0</v>
      </c>
      <c r="F46" s="12">
        <v>0.0</v>
      </c>
      <c r="G46" s="12">
        <v>0.0</v>
      </c>
      <c r="H46" s="12">
        <v>0.0</v>
      </c>
      <c r="I46" s="12">
        <v>0.0</v>
      </c>
      <c r="J46" s="12">
        <v>0.0</v>
      </c>
      <c r="K46" s="12">
        <v>0.0</v>
      </c>
      <c r="L46" s="12">
        <v>0.0</v>
      </c>
    </row>
    <row r="47">
      <c r="A47" s="10">
        <v>10.0</v>
      </c>
      <c r="B47" s="14" t="s">
        <v>27</v>
      </c>
      <c r="C47" s="12">
        <f t="shared" si="3"/>
        <v>0</v>
      </c>
      <c r="D47" s="13"/>
      <c r="E47" s="12">
        <v>0.0</v>
      </c>
      <c r="F47" s="12">
        <v>0.0</v>
      </c>
      <c r="G47" s="12">
        <v>0.0</v>
      </c>
      <c r="H47" s="12">
        <v>0.0</v>
      </c>
      <c r="I47" s="12">
        <v>0.0</v>
      </c>
      <c r="J47" s="12">
        <v>0.0</v>
      </c>
      <c r="K47" s="12">
        <v>0.0</v>
      </c>
      <c r="L47" s="12">
        <v>0.0</v>
      </c>
    </row>
    <row r="48">
      <c r="A48" s="10">
        <v>11.0</v>
      </c>
      <c r="B48" s="11" t="s">
        <v>28</v>
      </c>
      <c r="C48" s="12">
        <f t="shared" si="3"/>
        <v>0</v>
      </c>
      <c r="D48" s="13"/>
      <c r="E48" s="12">
        <v>0.0</v>
      </c>
      <c r="F48" s="12">
        <v>0.0</v>
      </c>
      <c r="G48" s="12">
        <v>0.0</v>
      </c>
      <c r="H48" s="12">
        <v>0.0</v>
      </c>
      <c r="I48" s="12">
        <v>0.0</v>
      </c>
      <c r="J48" s="12">
        <v>0.0</v>
      </c>
      <c r="K48" s="12">
        <v>0.0</v>
      </c>
      <c r="L48" s="12">
        <v>0.0</v>
      </c>
    </row>
    <row r="49">
      <c r="A49" s="27">
        <v>12.0</v>
      </c>
      <c r="B49" s="17" t="s">
        <v>29</v>
      </c>
      <c r="C49" s="7">
        <f t="shared" si="3"/>
        <v>2</v>
      </c>
      <c r="D49" s="13"/>
      <c r="E49" s="7">
        <v>0.0</v>
      </c>
      <c r="F49" s="7">
        <v>2.0</v>
      </c>
      <c r="G49" s="7">
        <v>0.0</v>
      </c>
      <c r="H49" s="7">
        <v>0.0</v>
      </c>
      <c r="I49" s="7">
        <v>0.0</v>
      </c>
      <c r="J49" s="7">
        <v>0.0</v>
      </c>
      <c r="K49" s="7">
        <v>0.0</v>
      </c>
      <c r="L49" s="7">
        <v>0.0</v>
      </c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>
      <c r="A50" s="10">
        <v>13.0</v>
      </c>
      <c r="B50" s="11" t="s">
        <v>30</v>
      </c>
      <c r="C50" s="12">
        <f t="shared" si="3"/>
        <v>0</v>
      </c>
      <c r="D50" s="13"/>
      <c r="E50" s="12">
        <v>0.0</v>
      </c>
      <c r="F50" s="12">
        <v>0.0</v>
      </c>
      <c r="G50" s="12">
        <v>0.0</v>
      </c>
      <c r="H50" s="12">
        <v>0.0</v>
      </c>
      <c r="I50" s="12">
        <v>0.0</v>
      </c>
      <c r="J50" s="12">
        <v>0.0</v>
      </c>
      <c r="K50" s="12">
        <v>0.0</v>
      </c>
      <c r="L50" s="12">
        <v>0.0</v>
      </c>
    </row>
    <row r="51">
      <c r="A51" s="10">
        <v>14.0</v>
      </c>
      <c r="B51" s="11" t="s">
        <v>31</v>
      </c>
      <c r="C51" s="12">
        <f t="shared" si="3"/>
        <v>0</v>
      </c>
      <c r="D51" s="13"/>
      <c r="E51" s="12">
        <v>0.0</v>
      </c>
      <c r="F51" s="12">
        <v>0.0</v>
      </c>
      <c r="G51" s="12">
        <v>0.0</v>
      </c>
      <c r="H51" s="12">
        <v>0.0</v>
      </c>
      <c r="I51" s="12">
        <v>0.0</v>
      </c>
      <c r="J51" s="12">
        <v>0.0</v>
      </c>
      <c r="K51" s="12">
        <v>0.0</v>
      </c>
      <c r="L51" s="12">
        <v>0.0</v>
      </c>
    </row>
    <row r="52">
      <c r="A52" s="10">
        <v>15.0</v>
      </c>
      <c r="B52" s="11" t="s">
        <v>32</v>
      </c>
      <c r="C52" s="12">
        <f t="shared" si="3"/>
        <v>0</v>
      </c>
      <c r="D52" s="13"/>
      <c r="E52" s="12">
        <v>0.0</v>
      </c>
      <c r="F52" s="12">
        <v>0.0</v>
      </c>
      <c r="G52" s="12">
        <v>0.0</v>
      </c>
      <c r="H52" s="12">
        <v>0.0</v>
      </c>
      <c r="I52" s="12">
        <v>0.0</v>
      </c>
      <c r="J52" s="12">
        <v>0.0</v>
      </c>
      <c r="K52" s="12">
        <v>0.0</v>
      </c>
      <c r="L52" s="12">
        <v>0.0</v>
      </c>
    </row>
    <row r="53">
      <c r="A53" s="10">
        <v>16.0</v>
      </c>
      <c r="B53" s="14" t="s">
        <v>33</v>
      </c>
      <c r="C53" s="12">
        <f t="shared" si="3"/>
        <v>0</v>
      </c>
      <c r="D53" s="13"/>
      <c r="E53" s="12">
        <v>0.0</v>
      </c>
      <c r="F53" s="12">
        <v>0.0</v>
      </c>
      <c r="G53" s="12">
        <v>0.0</v>
      </c>
      <c r="H53" s="12">
        <v>0.0</v>
      </c>
      <c r="I53" s="12">
        <v>0.0</v>
      </c>
      <c r="J53" s="12">
        <v>0.0</v>
      </c>
      <c r="K53" s="12">
        <v>0.0</v>
      </c>
      <c r="L53" s="12">
        <v>0.0</v>
      </c>
    </row>
    <row r="54">
      <c r="A54" s="10">
        <v>17.0</v>
      </c>
      <c r="B54" s="14" t="s">
        <v>34</v>
      </c>
      <c r="C54" s="12">
        <f t="shared" si="3"/>
        <v>0</v>
      </c>
      <c r="D54" s="13"/>
      <c r="E54" s="12">
        <v>0.0</v>
      </c>
      <c r="F54" s="12">
        <v>0.0</v>
      </c>
      <c r="G54" s="12">
        <v>0.0</v>
      </c>
      <c r="H54" s="12">
        <v>0.0</v>
      </c>
      <c r="I54" s="12">
        <v>0.0</v>
      </c>
      <c r="J54" s="12">
        <v>0.0</v>
      </c>
      <c r="K54" s="12">
        <v>0.0</v>
      </c>
      <c r="L54" s="12">
        <v>0.0</v>
      </c>
    </row>
    <row r="55">
      <c r="A55" s="10">
        <v>18.0</v>
      </c>
      <c r="B55" s="14" t="s">
        <v>35</v>
      </c>
      <c r="C55" s="12">
        <f t="shared" si="3"/>
        <v>0</v>
      </c>
      <c r="D55" s="13"/>
      <c r="E55" s="12">
        <v>0.0</v>
      </c>
      <c r="F55" s="12">
        <v>0.0</v>
      </c>
      <c r="G55" s="12">
        <v>0.0</v>
      </c>
      <c r="H55" s="12">
        <v>0.0</v>
      </c>
      <c r="I55" s="12">
        <v>0.0</v>
      </c>
      <c r="J55" s="12">
        <v>0.0</v>
      </c>
      <c r="K55" s="12">
        <v>0.0</v>
      </c>
      <c r="L55" s="12">
        <v>0.0</v>
      </c>
    </row>
    <row r="56">
      <c r="A56" s="16">
        <v>19.0</v>
      </c>
      <c r="B56" s="11" t="s">
        <v>36</v>
      </c>
      <c r="C56" s="12">
        <f t="shared" si="3"/>
        <v>0</v>
      </c>
      <c r="D56" s="13"/>
      <c r="E56" s="12">
        <v>0.0</v>
      </c>
      <c r="F56" s="12">
        <v>0.0</v>
      </c>
      <c r="G56" s="12">
        <v>0.0</v>
      </c>
      <c r="H56" s="12">
        <v>0.0</v>
      </c>
      <c r="I56" s="12">
        <v>0.0</v>
      </c>
      <c r="J56" s="12">
        <v>0.0</v>
      </c>
      <c r="K56" s="12">
        <v>0.0</v>
      </c>
      <c r="L56" s="12">
        <v>0.0</v>
      </c>
    </row>
    <row r="57">
      <c r="A57" s="16">
        <v>20.0</v>
      </c>
      <c r="B57" s="14" t="s">
        <v>37</v>
      </c>
      <c r="C57" s="12">
        <f t="shared" si="3"/>
        <v>0</v>
      </c>
      <c r="D57" s="13"/>
      <c r="E57" s="12">
        <v>0.0</v>
      </c>
      <c r="F57" s="12">
        <v>0.0</v>
      </c>
      <c r="G57" s="12">
        <v>0.0</v>
      </c>
      <c r="H57" s="12">
        <v>0.0</v>
      </c>
      <c r="I57" s="12">
        <v>0.0</v>
      </c>
      <c r="J57" s="12">
        <v>0.0</v>
      </c>
      <c r="K57" s="12">
        <v>0.0</v>
      </c>
      <c r="L57" s="12">
        <v>0.0</v>
      </c>
    </row>
    <row r="58">
      <c r="A58" s="10">
        <v>21.0</v>
      </c>
      <c r="B58" s="11" t="s">
        <v>38</v>
      </c>
      <c r="C58" s="12">
        <f t="shared" si="3"/>
        <v>0</v>
      </c>
      <c r="D58" s="13"/>
      <c r="E58" s="12">
        <v>0.0</v>
      </c>
      <c r="F58" s="12">
        <v>0.0</v>
      </c>
      <c r="G58" s="12">
        <v>0.0</v>
      </c>
      <c r="H58" s="12">
        <v>0.0</v>
      </c>
      <c r="I58" s="12">
        <v>0.0</v>
      </c>
      <c r="J58" s="12">
        <v>0.0</v>
      </c>
      <c r="K58" s="12">
        <v>0.0</v>
      </c>
      <c r="L58" s="12">
        <v>0.0</v>
      </c>
    </row>
    <row r="59">
      <c r="A59" s="10">
        <v>22.0</v>
      </c>
      <c r="B59" s="11" t="s">
        <v>39</v>
      </c>
      <c r="C59" s="12">
        <f t="shared" si="3"/>
        <v>0</v>
      </c>
      <c r="D59" s="13"/>
      <c r="E59" s="12">
        <v>0.0</v>
      </c>
      <c r="F59" s="12">
        <v>0.0</v>
      </c>
      <c r="G59" s="12">
        <v>0.0</v>
      </c>
      <c r="H59" s="12">
        <v>0.0</v>
      </c>
      <c r="I59" s="12">
        <v>0.0</v>
      </c>
      <c r="J59" s="12">
        <v>0.0</v>
      </c>
      <c r="K59" s="12">
        <v>0.0</v>
      </c>
      <c r="L59" s="12">
        <v>0.0</v>
      </c>
    </row>
    <row r="60">
      <c r="A60" s="10">
        <v>23.0</v>
      </c>
      <c r="B60" s="14" t="s">
        <v>40</v>
      </c>
      <c r="C60" s="12">
        <f t="shared" si="3"/>
        <v>0</v>
      </c>
      <c r="D60" s="13"/>
      <c r="E60" s="12">
        <v>0.0</v>
      </c>
      <c r="F60" s="12">
        <v>0.0</v>
      </c>
      <c r="G60" s="12">
        <v>0.0</v>
      </c>
      <c r="H60" s="12">
        <v>0.0</v>
      </c>
      <c r="I60" s="12">
        <v>0.0</v>
      </c>
      <c r="J60" s="12">
        <v>0.0</v>
      </c>
      <c r="K60" s="12">
        <v>0.0</v>
      </c>
      <c r="L60" s="12">
        <v>0.0</v>
      </c>
    </row>
    <row r="61">
      <c r="A61" s="10">
        <v>24.0</v>
      </c>
      <c r="B61" s="14" t="s">
        <v>42</v>
      </c>
      <c r="C61" s="12">
        <f t="shared" si="3"/>
        <v>0</v>
      </c>
      <c r="D61" s="13"/>
      <c r="E61" s="12">
        <v>0.0</v>
      </c>
      <c r="F61" s="12">
        <v>0.0</v>
      </c>
      <c r="G61" s="12">
        <v>0.0</v>
      </c>
      <c r="H61" s="12">
        <v>0.0</v>
      </c>
      <c r="I61" s="12">
        <v>0.0</v>
      </c>
      <c r="J61" s="12">
        <v>0.0</v>
      </c>
      <c r="K61" s="12">
        <v>0.0</v>
      </c>
      <c r="L61" s="12">
        <v>0.0</v>
      </c>
    </row>
    <row r="62">
      <c r="A62" s="10">
        <v>25.0</v>
      </c>
      <c r="B62" s="14" t="s">
        <v>43</v>
      </c>
      <c r="C62" s="12">
        <f t="shared" si="3"/>
        <v>0</v>
      </c>
      <c r="D62" s="13"/>
      <c r="E62" s="12">
        <v>0.0</v>
      </c>
      <c r="F62" s="12">
        <v>0.0</v>
      </c>
      <c r="G62" s="12">
        <v>0.0</v>
      </c>
      <c r="H62" s="12">
        <v>0.0</v>
      </c>
      <c r="I62" s="12">
        <v>0.0</v>
      </c>
      <c r="J62" s="12">
        <v>0.0</v>
      </c>
      <c r="K62" s="12">
        <v>0.0</v>
      </c>
      <c r="L62" s="12">
        <v>0.0</v>
      </c>
    </row>
    <row r="63">
      <c r="A63" s="10">
        <v>26.0</v>
      </c>
      <c r="B63" s="11" t="s">
        <v>44</v>
      </c>
      <c r="C63" s="12">
        <f t="shared" si="3"/>
        <v>0</v>
      </c>
      <c r="D63" s="13"/>
      <c r="E63" s="12">
        <v>0.0</v>
      </c>
      <c r="F63" s="12">
        <v>0.0</v>
      </c>
      <c r="G63" s="12">
        <v>0.0</v>
      </c>
      <c r="H63" s="12">
        <v>0.0</v>
      </c>
      <c r="I63" s="12">
        <v>0.0</v>
      </c>
      <c r="J63" s="12">
        <v>0.0</v>
      </c>
      <c r="K63" s="12">
        <v>0.0</v>
      </c>
      <c r="L63" s="12">
        <v>0.0</v>
      </c>
    </row>
    <row r="64">
      <c r="A64" s="10">
        <v>27.0</v>
      </c>
      <c r="B64" s="11" t="s">
        <v>45</v>
      </c>
      <c r="C64" s="12">
        <f t="shared" si="3"/>
        <v>0</v>
      </c>
      <c r="D64" s="13"/>
      <c r="E64" s="12">
        <v>0.0</v>
      </c>
      <c r="F64" s="12">
        <v>0.0</v>
      </c>
      <c r="G64" s="12">
        <v>0.0</v>
      </c>
      <c r="H64" s="12">
        <v>0.0</v>
      </c>
      <c r="I64" s="12">
        <v>0.0</v>
      </c>
      <c r="J64" s="12">
        <v>0.0</v>
      </c>
      <c r="K64" s="12">
        <v>0.0</v>
      </c>
      <c r="L64" s="12">
        <v>0.0</v>
      </c>
    </row>
    <row r="65">
      <c r="A65" s="27">
        <v>28.0</v>
      </c>
      <c r="B65" s="17" t="s">
        <v>46</v>
      </c>
      <c r="C65" s="7">
        <f t="shared" si="3"/>
        <v>105</v>
      </c>
      <c r="D65" s="13"/>
      <c r="E65" s="7">
        <v>0.0</v>
      </c>
      <c r="F65" s="7">
        <v>105.0</v>
      </c>
      <c r="G65" s="7">
        <v>0.0</v>
      </c>
      <c r="H65" s="7">
        <v>0.0</v>
      </c>
      <c r="I65" s="7">
        <v>0.0</v>
      </c>
      <c r="J65" s="7">
        <v>0.0</v>
      </c>
      <c r="K65" s="7">
        <v>0.0</v>
      </c>
      <c r="L65" s="7">
        <v>0.0</v>
      </c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>
      <c r="A66" s="10">
        <v>29.0</v>
      </c>
      <c r="B66" s="11" t="s">
        <v>15</v>
      </c>
      <c r="C66" s="12">
        <f t="shared" si="3"/>
        <v>0</v>
      </c>
      <c r="D66" s="13"/>
      <c r="E66" s="12">
        <v>0.0</v>
      </c>
      <c r="F66" s="12">
        <v>0.0</v>
      </c>
      <c r="G66" s="12">
        <v>0.0</v>
      </c>
      <c r="H66" s="12">
        <v>0.0</v>
      </c>
      <c r="I66" s="12">
        <v>0.0</v>
      </c>
      <c r="J66" s="12">
        <v>0.0</v>
      </c>
      <c r="K66" s="12">
        <v>0.0</v>
      </c>
      <c r="L66" s="12">
        <v>0.0</v>
      </c>
    </row>
    <row r="67">
      <c r="A67" s="10">
        <v>30.0</v>
      </c>
      <c r="B67" s="11" t="s">
        <v>47</v>
      </c>
      <c r="C67" s="12">
        <f t="shared" si="3"/>
        <v>0</v>
      </c>
      <c r="D67" s="18"/>
      <c r="E67" s="12">
        <v>0.0</v>
      </c>
      <c r="F67" s="12">
        <v>0.0</v>
      </c>
      <c r="G67" s="12">
        <v>0.0</v>
      </c>
      <c r="H67" s="12">
        <v>0.0</v>
      </c>
      <c r="I67" s="12">
        <v>0.0</v>
      </c>
      <c r="J67" s="12">
        <v>0.0</v>
      </c>
      <c r="K67" s="12">
        <v>0.0</v>
      </c>
      <c r="L67" s="12">
        <v>0.0</v>
      </c>
    </row>
    <row r="68">
      <c r="A68" s="30" t="s">
        <v>52</v>
      </c>
      <c r="B68" s="3"/>
      <c r="C68" s="20">
        <f>SUM(C38:C67)</f>
        <v>143</v>
      </c>
      <c r="D68" s="21"/>
      <c r="E68" s="20">
        <f t="shared" ref="E68:L68" si="4">SUM(E38:E67)</f>
        <v>11</v>
      </c>
      <c r="F68" s="20">
        <f t="shared" si="4"/>
        <v>123</v>
      </c>
      <c r="G68" s="20">
        <f t="shared" si="4"/>
        <v>0</v>
      </c>
      <c r="H68" s="20">
        <f t="shared" si="4"/>
        <v>0</v>
      </c>
      <c r="I68" s="20">
        <f t="shared" si="4"/>
        <v>9</v>
      </c>
      <c r="J68" s="20">
        <f t="shared" si="4"/>
        <v>0</v>
      </c>
      <c r="K68" s="20">
        <f t="shared" si="4"/>
        <v>0</v>
      </c>
      <c r="L68" s="20">
        <f t="shared" si="4"/>
        <v>0</v>
      </c>
    </row>
    <row r="69">
      <c r="A69" s="31" t="s">
        <v>53</v>
      </c>
      <c r="B69" s="2"/>
      <c r="C69" s="2"/>
      <c r="D69" s="32"/>
      <c r="E69" s="33">
        <f>C34+C68</f>
        <v>6762</v>
      </c>
      <c r="F69" s="34"/>
      <c r="G69" s="2"/>
      <c r="H69" s="2"/>
      <c r="I69" s="2"/>
      <c r="J69" s="2"/>
      <c r="K69" s="2"/>
      <c r="L69" s="3"/>
    </row>
    <row r="70">
      <c r="A70" s="23"/>
      <c r="B70" s="2"/>
      <c r="C70" s="2"/>
      <c r="D70" s="2"/>
      <c r="E70" s="2"/>
      <c r="F70" s="2"/>
      <c r="G70" s="2"/>
      <c r="H70" s="2"/>
      <c r="I70" s="2"/>
      <c r="J70" s="2"/>
      <c r="K70" s="2"/>
      <c r="L70" s="3"/>
    </row>
    <row r="71">
      <c r="A71" s="35" t="s">
        <v>54</v>
      </c>
      <c r="B71" s="2"/>
      <c r="C71" s="3"/>
      <c r="D71" s="36"/>
      <c r="E71" s="6" t="s">
        <v>55</v>
      </c>
      <c r="F71" s="2"/>
      <c r="G71" s="2"/>
      <c r="H71" s="2"/>
      <c r="I71" s="2"/>
      <c r="J71" s="2"/>
      <c r="K71" s="2"/>
      <c r="L71" s="3"/>
    </row>
    <row r="72">
      <c r="A72" s="7" t="s">
        <v>5</v>
      </c>
      <c r="B72" s="7" t="s">
        <v>56</v>
      </c>
      <c r="C72" s="7" t="s">
        <v>7</v>
      </c>
      <c r="D72" s="8"/>
      <c r="E72" s="9" t="s">
        <v>8</v>
      </c>
      <c r="F72" s="9" t="s">
        <v>9</v>
      </c>
      <c r="G72" s="9" t="s">
        <v>10</v>
      </c>
      <c r="H72" s="9" t="s">
        <v>11</v>
      </c>
      <c r="I72" s="9" t="s">
        <v>12</v>
      </c>
      <c r="J72" s="9" t="s">
        <v>13</v>
      </c>
      <c r="K72" s="9" t="s">
        <v>14</v>
      </c>
      <c r="L72" s="9" t="s">
        <v>15</v>
      </c>
    </row>
    <row r="73">
      <c r="A73" s="27">
        <v>1.0</v>
      </c>
      <c r="B73" s="17" t="s">
        <v>16</v>
      </c>
      <c r="C73" s="7">
        <f t="shared" ref="C73:C102" si="5">E73+F73+G73+H73+I73+J73+K73+L73</f>
        <v>28</v>
      </c>
      <c r="D73" s="13"/>
      <c r="E73" s="7">
        <v>6.0</v>
      </c>
      <c r="F73" s="7">
        <v>0.0</v>
      </c>
      <c r="G73" s="7">
        <v>0.0</v>
      </c>
      <c r="H73" s="7">
        <v>3.0</v>
      </c>
      <c r="I73" s="7">
        <v>19.0</v>
      </c>
      <c r="J73" s="7">
        <v>0.0</v>
      </c>
      <c r="K73" s="7">
        <v>0.0</v>
      </c>
      <c r="L73" s="7">
        <v>0.0</v>
      </c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>
      <c r="A74" s="10">
        <v>2.0</v>
      </c>
      <c r="B74" s="11" t="s">
        <v>17</v>
      </c>
      <c r="C74" s="12">
        <f t="shared" si="5"/>
        <v>0</v>
      </c>
      <c r="D74" s="13"/>
      <c r="E74" s="12">
        <v>0.0</v>
      </c>
      <c r="F74" s="12">
        <v>0.0</v>
      </c>
      <c r="G74" s="12">
        <v>0.0</v>
      </c>
      <c r="H74" s="12">
        <v>0.0</v>
      </c>
      <c r="I74" s="12">
        <v>0.0</v>
      </c>
      <c r="J74" s="12">
        <v>0.0</v>
      </c>
      <c r="K74" s="12">
        <v>0.0</v>
      </c>
      <c r="L74" s="12">
        <v>0.0</v>
      </c>
    </row>
    <row r="75">
      <c r="A75" s="10">
        <v>3.0</v>
      </c>
      <c r="B75" s="11" t="s">
        <v>18</v>
      </c>
      <c r="C75" s="12">
        <f t="shared" si="5"/>
        <v>0</v>
      </c>
      <c r="D75" s="13"/>
      <c r="E75" s="12">
        <v>0.0</v>
      </c>
      <c r="F75" s="12">
        <v>0.0</v>
      </c>
      <c r="G75" s="12">
        <v>0.0</v>
      </c>
      <c r="H75" s="12">
        <v>0.0</v>
      </c>
      <c r="I75" s="12">
        <v>0.0</v>
      </c>
      <c r="J75" s="12">
        <v>0.0</v>
      </c>
      <c r="K75" s="12">
        <v>0.0</v>
      </c>
      <c r="L75" s="12">
        <v>0.0</v>
      </c>
    </row>
    <row r="76">
      <c r="A76" s="10">
        <v>4.0</v>
      </c>
      <c r="B76" s="11" t="s">
        <v>19</v>
      </c>
      <c r="C76" s="12">
        <f t="shared" si="5"/>
        <v>0</v>
      </c>
      <c r="D76" s="13"/>
      <c r="E76" s="12">
        <v>0.0</v>
      </c>
      <c r="F76" s="12">
        <v>0.0</v>
      </c>
      <c r="G76" s="12">
        <v>0.0</v>
      </c>
      <c r="H76" s="12">
        <v>0.0</v>
      </c>
      <c r="I76" s="12">
        <v>0.0</v>
      </c>
      <c r="J76" s="12">
        <v>0.0</v>
      </c>
      <c r="K76" s="12">
        <v>0.0</v>
      </c>
      <c r="L76" s="12">
        <v>0.0</v>
      </c>
    </row>
    <row r="77">
      <c r="A77" s="27">
        <v>5.0</v>
      </c>
      <c r="B77" s="17" t="s">
        <v>20</v>
      </c>
      <c r="C77" s="7">
        <f t="shared" si="5"/>
        <v>54</v>
      </c>
      <c r="D77" s="13"/>
      <c r="E77" s="7">
        <v>53.0</v>
      </c>
      <c r="F77" s="7">
        <v>0.0</v>
      </c>
      <c r="G77" s="7">
        <v>0.0</v>
      </c>
      <c r="H77" s="7">
        <v>0.0</v>
      </c>
      <c r="I77" s="7">
        <v>1.0</v>
      </c>
      <c r="J77" s="7">
        <v>0.0</v>
      </c>
      <c r="K77" s="7">
        <v>0.0</v>
      </c>
      <c r="L77" s="7">
        <v>0.0</v>
      </c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>
      <c r="A78" s="27">
        <v>6.0</v>
      </c>
      <c r="B78" s="29" t="s">
        <v>21</v>
      </c>
      <c r="C78" s="7">
        <f t="shared" si="5"/>
        <v>8</v>
      </c>
      <c r="D78" s="13"/>
      <c r="E78" s="7">
        <v>0.0</v>
      </c>
      <c r="F78" s="7">
        <v>0.0</v>
      </c>
      <c r="G78" s="7">
        <v>8.0</v>
      </c>
      <c r="H78" s="7">
        <v>0.0</v>
      </c>
      <c r="I78" s="7">
        <v>0.0</v>
      </c>
      <c r="J78" s="7">
        <v>0.0</v>
      </c>
      <c r="K78" s="7">
        <v>0.0</v>
      </c>
      <c r="L78" s="7">
        <v>0.0</v>
      </c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>
      <c r="A79" s="10">
        <v>7.0</v>
      </c>
      <c r="B79" s="11" t="s">
        <v>23</v>
      </c>
      <c r="C79" s="12">
        <f t="shared" si="5"/>
        <v>0</v>
      </c>
      <c r="D79" s="13"/>
      <c r="E79" s="12">
        <v>0.0</v>
      </c>
      <c r="F79" s="12">
        <v>0.0</v>
      </c>
      <c r="G79" s="12">
        <v>0.0</v>
      </c>
      <c r="H79" s="12">
        <v>0.0</v>
      </c>
      <c r="I79" s="12">
        <v>0.0</v>
      </c>
      <c r="J79" s="12">
        <v>0.0</v>
      </c>
      <c r="K79" s="12">
        <v>0.0</v>
      </c>
      <c r="L79" s="12">
        <v>0.0</v>
      </c>
    </row>
    <row r="80">
      <c r="A80" s="10">
        <v>8.0</v>
      </c>
      <c r="B80" s="11" t="s">
        <v>25</v>
      </c>
      <c r="C80" s="12">
        <f t="shared" si="5"/>
        <v>0</v>
      </c>
      <c r="D80" s="13"/>
      <c r="E80" s="12">
        <v>0.0</v>
      </c>
      <c r="F80" s="12">
        <v>0.0</v>
      </c>
      <c r="G80" s="12">
        <v>0.0</v>
      </c>
      <c r="H80" s="12">
        <v>0.0</v>
      </c>
      <c r="I80" s="12">
        <v>0.0</v>
      </c>
      <c r="J80" s="12">
        <v>0.0</v>
      </c>
      <c r="K80" s="12">
        <v>0.0</v>
      </c>
      <c r="L80" s="12">
        <v>0.0</v>
      </c>
    </row>
    <row r="81">
      <c r="A81" s="10">
        <v>9.0</v>
      </c>
      <c r="B81" s="11" t="s">
        <v>26</v>
      </c>
      <c r="C81" s="12">
        <f t="shared" si="5"/>
        <v>0</v>
      </c>
      <c r="D81" s="13"/>
      <c r="E81" s="12">
        <v>0.0</v>
      </c>
      <c r="F81" s="12">
        <v>0.0</v>
      </c>
      <c r="G81" s="12">
        <v>0.0</v>
      </c>
      <c r="H81" s="12">
        <v>0.0</v>
      </c>
      <c r="I81" s="12">
        <v>0.0</v>
      </c>
      <c r="J81" s="12">
        <v>0.0</v>
      </c>
      <c r="K81" s="12">
        <v>0.0</v>
      </c>
      <c r="L81" s="12">
        <v>0.0</v>
      </c>
    </row>
    <row r="82">
      <c r="A82" s="10">
        <v>10.0</v>
      </c>
      <c r="B82" s="14" t="s">
        <v>27</v>
      </c>
      <c r="C82" s="12">
        <f t="shared" si="5"/>
        <v>0</v>
      </c>
      <c r="D82" s="13"/>
      <c r="E82" s="12">
        <v>0.0</v>
      </c>
      <c r="F82" s="12">
        <v>0.0</v>
      </c>
      <c r="G82" s="12">
        <v>0.0</v>
      </c>
      <c r="H82" s="12">
        <v>0.0</v>
      </c>
      <c r="I82" s="12">
        <v>0.0</v>
      </c>
      <c r="J82" s="12">
        <v>0.0</v>
      </c>
      <c r="K82" s="12">
        <v>0.0</v>
      </c>
      <c r="L82" s="12">
        <v>0.0</v>
      </c>
    </row>
    <row r="83">
      <c r="A83" s="10">
        <v>11.0</v>
      </c>
      <c r="B83" s="11" t="s">
        <v>28</v>
      </c>
      <c r="C83" s="12">
        <f t="shared" si="5"/>
        <v>0</v>
      </c>
      <c r="D83" s="13"/>
      <c r="E83" s="12">
        <v>0.0</v>
      </c>
      <c r="F83" s="12">
        <v>0.0</v>
      </c>
      <c r="G83" s="12">
        <v>0.0</v>
      </c>
      <c r="H83" s="12">
        <v>0.0</v>
      </c>
      <c r="I83" s="12">
        <v>0.0</v>
      </c>
      <c r="J83" s="12">
        <v>0.0</v>
      </c>
      <c r="K83" s="12">
        <v>0.0</v>
      </c>
      <c r="L83" s="12">
        <v>0.0</v>
      </c>
    </row>
    <row r="84">
      <c r="A84" s="27">
        <v>12.0</v>
      </c>
      <c r="B84" s="17" t="s">
        <v>29</v>
      </c>
      <c r="C84" s="7">
        <f t="shared" si="5"/>
        <v>39</v>
      </c>
      <c r="D84" s="13"/>
      <c r="E84" s="7">
        <v>0.0</v>
      </c>
      <c r="F84" s="7">
        <v>39.0</v>
      </c>
      <c r="G84" s="7">
        <v>0.0</v>
      </c>
      <c r="H84" s="7">
        <v>0.0</v>
      </c>
      <c r="I84" s="7">
        <v>0.0</v>
      </c>
      <c r="J84" s="7">
        <v>0.0</v>
      </c>
      <c r="K84" s="7">
        <v>0.0</v>
      </c>
      <c r="L84" s="7">
        <v>0.0</v>
      </c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>
      <c r="A85" s="27">
        <v>13.0</v>
      </c>
      <c r="B85" s="17" t="s">
        <v>30</v>
      </c>
      <c r="C85" s="7">
        <f t="shared" si="5"/>
        <v>71</v>
      </c>
      <c r="D85" s="13"/>
      <c r="E85" s="7">
        <v>0.0</v>
      </c>
      <c r="F85" s="7">
        <v>0.0</v>
      </c>
      <c r="G85" s="7">
        <v>71.0</v>
      </c>
      <c r="H85" s="7">
        <v>0.0</v>
      </c>
      <c r="I85" s="7">
        <v>0.0</v>
      </c>
      <c r="J85" s="7">
        <v>0.0</v>
      </c>
      <c r="K85" s="7">
        <v>0.0</v>
      </c>
      <c r="L85" s="7">
        <v>0.0</v>
      </c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>
      <c r="A86" s="10">
        <v>14.0</v>
      </c>
      <c r="B86" s="11" t="s">
        <v>31</v>
      </c>
      <c r="C86" s="12">
        <f t="shared" si="5"/>
        <v>0</v>
      </c>
      <c r="D86" s="13"/>
      <c r="E86" s="12">
        <v>0.0</v>
      </c>
      <c r="F86" s="12">
        <v>0.0</v>
      </c>
      <c r="G86" s="12">
        <v>0.0</v>
      </c>
      <c r="H86" s="12">
        <v>0.0</v>
      </c>
      <c r="I86" s="12">
        <v>0.0</v>
      </c>
      <c r="J86" s="12">
        <v>0.0</v>
      </c>
      <c r="K86" s="12">
        <v>0.0</v>
      </c>
      <c r="L86" s="12">
        <v>0.0</v>
      </c>
    </row>
    <row r="87">
      <c r="A87" s="10">
        <v>15.0</v>
      </c>
      <c r="B87" s="11" t="s">
        <v>32</v>
      </c>
      <c r="C87" s="12">
        <f t="shared" si="5"/>
        <v>0</v>
      </c>
      <c r="D87" s="13"/>
      <c r="E87" s="12">
        <v>0.0</v>
      </c>
      <c r="F87" s="12">
        <v>0.0</v>
      </c>
      <c r="G87" s="12">
        <v>0.0</v>
      </c>
      <c r="H87" s="12">
        <v>0.0</v>
      </c>
      <c r="I87" s="12">
        <v>0.0</v>
      </c>
      <c r="J87" s="12">
        <v>0.0</v>
      </c>
      <c r="K87" s="12">
        <v>0.0</v>
      </c>
      <c r="L87" s="12">
        <v>0.0</v>
      </c>
    </row>
    <row r="88">
      <c r="A88" s="10">
        <v>16.0</v>
      </c>
      <c r="B88" s="14" t="s">
        <v>33</v>
      </c>
      <c r="C88" s="12">
        <f t="shared" si="5"/>
        <v>0</v>
      </c>
      <c r="D88" s="13"/>
      <c r="E88" s="12">
        <v>0.0</v>
      </c>
      <c r="F88" s="12">
        <v>0.0</v>
      </c>
      <c r="G88" s="12">
        <v>0.0</v>
      </c>
      <c r="H88" s="12">
        <v>0.0</v>
      </c>
      <c r="I88" s="12">
        <v>0.0</v>
      </c>
      <c r="J88" s="12">
        <v>0.0</v>
      </c>
      <c r="K88" s="12">
        <v>0.0</v>
      </c>
      <c r="L88" s="12">
        <v>0.0</v>
      </c>
    </row>
    <row r="89">
      <c r="A89" s="27">
        <v>17.0</v>
      </c>
      <c r="B89" s="29" t="s">
        <v>34</v>
      </c>
      <c r="C89" s="7">
        <f t="shared" si="5"/>
        <v>239</v>
      </c>
      <c r="D89" s="13"/>
      <c r="E89" s="7">
        <v>0.0</v>
      </c>
      <c r="F89" s="7">
        <v>53.0</v>
      </c>
      <c r="G89" s="7">
        <v>146.0</v>
      </c>
      <c r="H89" s="7">
        <v>40.0</v>
      </c>
      <c r="I89" s="7">
        <v>0.0</v>
      </c>
      <c r="J89" s="7">
        <v>0.0</v>
      </c>
      <c r="K89" s="7">
        <v>0.0</v>
      </c>
      <c r="L89" s="7">
        <v>0.0</v>
      </c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>
      <c r="A90" s="10">
        <v>18.0</v>
      </c>
      <c r="B90" s="14" t="s">
        <v>35</v>
      </c>
      <c r="C90" s="12">
        <f t="shared" si="5"/>
        <v>0</v>
      </c>
      <c r="D90" s="13"/>
      <c r="E90" s="12">
        <v>0.0</v>
      </c>
      <c r="F90" s="12">
        <v>0.0</v>
      </c>
      <c r="G90" s="12">
        <v>0.0</v>
      </c>
      <c r="H90" s="12">
        <v>0.0</v>
      </c>
      <c r="I90" s="12">
        <v>0.0</v>
      </c>
      <c r="J90" s="12">
        <v>0.0</v>
      </c>
      <c r="K90" s="12">
        <v>0.0</v>
      </c>
      <c r="L90" s="12">
        <v>0.0</v>
      </c>
    </row>
    <row r="91">
      <c r="A91" s="16">
        <v>19.0</v>
      </c>
      <c r="B91" s="11" t="s">
        <v>36</v>
      </c>
      <c r="C91" s="12">
        <f t="shared" si="5"/>
        <v>0</v>
      </c>
      <c r="D91" s="13"/>
      <c r="E91" s="12">
        <v>0.0</v>
      </c>
      <c r="F91" s="12">
        <v>0.0</v>
      </c>
      <c r="G91" s="12">
        <v>0.0</v>
      </c>
      <c r="H91" s="12">
        <v>0.0</v>
      </c>
      <c r="I91" s="12">
        <v>0.0</v>
      </c>
      <c r="J91" s="12">
        <v>0.0</v>
      </c>
      <c r="K91" s="12">
        <v>0.0</v>
      </c>
      <c r="L91" s="12">
        <v>0.0</v>
      </c>
    </row>
    <row r="92">
      <c r="A92" s="16">
        <v>20.0</v>
      </c>
      <c r="B92" s="14" t="s">
        <v>37</v>
      </c>
      <c r="C92" s="12">
        <f t="shared" si="5"/>
        <v>0</v>
      </c>
      <c r="D92" s="13"/>
      <c r="E92" s="12">
        <v>0.0</v>
      </c>
      <c r="F92" s="12">
        <v>0.0</v>
      </c>
      <c r="G92" s="12">
        <v>0.0</v>
      </c>
      <c r="H92" s="12">
        <v>0.0</v>
      </c>
      <c r="I92" s="12">
        <v>0.0</v>
      </c>
      <c r="J92" s="12">
        <v>0.0</v>
      </c>
      <c r="K92" s="12">
        <v>0.0</v>
      </c>
      <c r="L92" s="12">
        <v>0.0</v>
      </c>
    </row>
    <row r="93">
      <c r="A93" s="10">
        <v>21.0</v>
      </c>
      <c r="B93" s="11" t="s">
        <v>38</v>
      </c>
      <c r="C93" s="12">
        <f t="shared" si="5"/>
        <v>0</v>
      </c>
      <c r="D93" s="13"/>
      <c r="E93" s="12">
        <v>0.0</v>
      </c>
      <c r="F93" s="12">
        <v>0.0</v>
      </c>
      <c r="G93" s="12">
        <v>0.0</v>
      </c>
      <c r="H93" s="12">
        <v>0.0</v>
      </c>
      <c r="I93" s="12">
        <v>0.0</v>
      </c>
      <c r="J93" s="12">
        <v>0.0</v>
      </c>
      <c r="K93" s="12">
        <v>0.0</v>
      </c>
      <c r="L93" s="12">
        <v>0.0</v>
      </c>
    </row>
    <row r="94">
      <c r="A94" s="10">
        <v>22.0</v>
      </c>
      <c r="B94" s="11" t="s">
        <v>39</v>
      </c>
      <c r="C94" s="12">
        <f t="shared" si="5"/>
        <v>0</v>
      </c>
      <c r="D94" s="13"/>
      <c r="E94" s="12">
        <v>0.0</v>
      </c>
      <c r="F94" s="12">
        <v>0.0</v>
      </c>
      <c r="G94" s="12">
        <v>0.0</v>
      </c>
      <c r="H94" s="12">
        <v>0.0</v>
      </c>
      <c r="I94" s="12">
        <v>0.0</v>
      </c>
      <c r="J94" s="12">
        <v>0.0</v>
      </c>
      <c r="K94" s="12">
        <v>0.0</v>
      </c>
      <c r="L94" s="12">
        <v>0.0</v>
      </c>
    </row>
    <row r="95">
      <c r="A95" s="27">
        <v>23.0</v>
      </c>
      <c r="B95" s="29" t="s">
        <v>40</v>
      </c>
      <c r="C95" s="7">
        <f t="shared" si="5"/>
        <v>5</v>
      </c>
      <c r="D95" s="13"/>
      <c r="E95" s="7">
        <v>0.0</v>
      </c>
      <c r="F95" s="7">
        <v>5.0</v>
      </c>
      <c r="G95" s="7">
        <v>0.0</v>
      </c>
      <c r="H95" s="7">
        <v>0.0</v>
      </c>
      <c r="I95" s="7">
        <v>0.0</v>
      </c>
      <c r="J95" s="7">
        <v>0.0</v>
      </c>
      <c r="K95" s="7">
        <v>0.0</v>
      </c>
      <c r="L95" s="7">
        <v>0.0</v>
      </c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>
      <c r="A96" s="27">
        <v>24.0</v>
      </c>
      <c r="B96" s="29" t="s">
        <v>42</v>
      </c>
      <c r="C96" s="7">
        <f t="shared" si="5"/>
        <v>1</v>
      </c>
      <c r="D96" s="13"/>
      <c r="E96" s="7">
        <v>0.0</v>
      </c>
      <c r="F96" s="7">
        <v>0.0</v>
      </c>
      <c r="G96" s="7">
        <v>0.0</v>
      </c>
      <c r="H96" s="7">
        <v>0.0</v>
      </c>
      <c r="I96" s="7">
        <v>1.0</v>
      </c>
      <c r="J96" s="7">
        <v>0.0</v>
      </c>
      <c r="K96" s="7">
        <v>0.0</v>
      </c>
      <c r="L96" s="7">
        <v>0.0</v>
      </c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>
      <c r="A97" s="10">
        <v>25.0</v>
      </c>
      <c r="B97" s="14" t="s">
        <v>43</v>
      </c>
      <c r="C97" s="12">
        <f t="shared" si="5"/>
        <v>0</v>
      </c>
      <c r="D97" s="13"/>
      <c r="E97" s="12">
        <v>0.0</v>
      </c>
      <c r="F97" s="12">
        <v>0.0</v>
      </c>
      <c r="G97" s="12">
        <v>0.0</v>
      </c>
      <c r="H97" s="12">
        <v>0.0</v>
      </c>
      <c r="I97" s="12">
        <v>0.0</v>
      </c>
      <c r="J97" s="12">
        <v>0.0</v>
      </c>
      <c r="K97" s="12">
        <v>0.0</v>
      </c>
      <c r="L97" s="12">
        <v>0.0</v>
      </c>
    </row>
    <row r="98">
      <c r="A98" s="27">
        <v>26.0</v>
      </c>
      <c r="B98" s="17" t="s">
        <v>44</v>
      </c>
      <c r="C98" s="7">
        <f t="shared" si="5"/>
        <v>7</v>
      </c>
      <c r="D98" s="13"/>
      <c r="E98" s="7">
        <v>0.0</v>
      </c>
      <c r="F98" s="7">
        <v>0.0</v>
      </c>
      <c r="G98" s="7">
        <v>0.0</v>
      </c>
      <c r="H98" s="7">
        <v>7.0</v>
      </c>
      <c r="I98" s="7">
        <v>0.0</v>
      </c>
      <c r="J98" s="7">
        <v>0.0</v>
      </c>
      <c r="K98" s="7">
        <v>0.0</v>
      </c>
      <c r="L98" s="7">
        <v>0.0</v>
      </c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>
      <c r="A99" s="10">
        <v>27.0</v>
      </c>
      <c r="B99" s="11" t="s">
        <v>45</v>
      </c>
      <c r="C99" s="12">
        <f t="shared" si="5"/>
        <v>0</v>
      </c>
      <c r="D99" s="13"/>
      <c r="E99" s="12">
        <v>0.0</v>
      </c>
      <c r="F99" s="12">
        <v>0.0</v>
      </c>
      <c r="G99" s="12">
        <v>0.0</v>
      </c>
      <c r="H99" s="12">
        <v>0.0</v>
      </c>
      <c r="I99" s="12">
        <v>0.0</v>
      </c>
      <c r="J99" s="12">
        <v>0.0</v>
      </c>
      <c r="K99" s="12">
        <v>0.0</v>
      </c>
      <c r="L99" s="12">
        <v>0.0</v>
      </c>
    </row>
    <row r="100">
      <c r="A100" s="10">
        <v>28.0</v>
      </c>
      <c r="B100" s="17" t="s">
        <v>46</v>
      </c>
      <c r="C100" s="12">
        <f t="shared" si="5"/>
        <v>0</v>
      </c>
      <c r="D100" s="13"/>
      <c r="E100" s="12">
        <v>0.0</v>
      </c>
      <c r="F100" s="12">
        <v>0.0</v>
      </c>
      <c r="G100" s="12">
        <v>0.0</v>
      </c>
      <c r="H100" s="12">
        <v>0.0</v>
      </c>
      <c r="I100" s="12">
        <v>0.0</v>
      </c>
      <c r="J100" s="12">
        <v>0.0</v>
      </c>
      <c r="K100" s="12">
        <v>0.0</v>
      </c>
      <c r="L100" s="12">
        <v>0.0</v>
      </c>
    </row>
    <row r="101">
      <c r="A101" s="10">
        <v>29.0</v>
      </c>
      <c r="B101" s="11" t="s">
        <v>15</v>
      </c>
      <c r="C101" s="12">
        <f t="shared" si="5"/>
        <v>0</v>
      </c>
      <c r="D101" s="13"/>
      <c r="E101" s="12">
        <v>0.0</v>
      </c>
      <c r="F101" s="12">
        <v>0.0</v>
      </c>
      <c r="G101" s="12">
        <v>0.0</v>
      </c>
      <c r="H101" s="12">
        <v>0.0</v>
      </c>
      <c r="I101" s="12">
        <v>0.0</v>
      </c>
      <c r="J101" s="12">
        <v>0.0</v>
      </c>
      <c r="K101" s="12">
        <v>0.0</v>
      </c>
      <c r="L101" s="12">
        <v>0.0</v>
      </c>
    </row>
    <row r="102">
      <c r="A102" s="10">
        <v>30.0</v>
      </c>
      <c r="B102" s="11" t="s">
        <v>47</v>
      </c>
      <c r="C102" s="12">
        <f t="shared" si="5"/>
        <v>0</v>
      </c>
      <c r="D102" s="18"/>
      <c r="E102" s="12">
        <v>0.0</v>
      </c>
      <c r="F102" s="12">
        <v>0.0</v>
      </c>
      <c r="G102" s="12">
        <v>0.0</v>
      </c>
      <c r="H102" s="12">
        <v>0.0</v>
      </c>
      <c r="I102" s="12">
        <v>0.0</v>
      </c>
      <c r="J102" s="12">
        <v>0.0</v>
      </c>
      <c r="K102" s="12">
        <v>0.0</v>
      </c>
      <c r="L102" s="12">
        <v>0.0</v>
      </c>
    </row>
    <row r="103">
      <c r="A103" s="19" t="s">
        <v>59</v>
      </c>
      <c r="B103" s="3"/>
      <c r="C103" s="20">
        <f>SUM(C73:C102)</f>
        <v>452</v>
      </c>
      <c r="D103" s="38"/>
      <c r="E103" s="20">
        <f t="shared" ref="E103:L103" si="6">SUM(E73:E102)</f>
        <v>59</v>
      </c>
      <c r="F103" s="20">
        <f t="shared" si="6"/>
        <v>97</v>
      </c>
      <c r="G103" s="20">
        <f t="shared" si="6"/>
        <v>225</v>
      </c>
      <c r="H103" s="20">
        <f t="shared" si="6"/>
        <v>50</v>
      </c>
      <c r="I103" s="20">
        <f t="shared" si="6"/>
        <v>21</v>
      </c>
      <c r="J103" s="20">
        <f t="shared" si="6"/>
        <v>0</v>
      </c>
      <c r="K103" s="20">
        <f t="shared" si="6"/>
        <v>0</v>
      </c>
      <c r="L103" s="20">
        <f t="shared" si="6"/>
        <v>0</v>
      </c>
    </row>
    <row r="104">
      <c r="A104" s="2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3"/>
    </row>
    <row r="105">
      <c r="A105" s="39" t="s">
        <v>60</v>
      </c>
      <c r="B105" s="2"/>
      <c r="C105" s="3"/>
      <c r="D105" s="40"/>
      <c r="E105" s="26" t="s">
        <v>61</v>
      </c>
      <c r="F105" s="2"/>
      <c r="G105" s="2"/>
      <c r="H105" s="2"/>
      <c r="I105" s="2"/>
      <c r="J105" s="2"/>
      <c r="K105" s="2"/>
      <c r="L105" s="3"/>
    </row>
    <row r="106">
      <c r="A106" s="7" t="s">
        <v>5</v>
      </c>
      <c r="B106" s="7" t="s">
        <v>62</v>
      </c>
      <c r="C106" s="7" t="s">
        <v>7</v>
      </c>
      <c r="D106" s="8"/>
      <c r="E106" s="9" t="s">
        <v>8</v>
      </c>
      <c r="F106" s="9" t="s">
        <v>9</v>
      </c>
      <c r="G106" s="9" t="s">
        <v>10</v>
      </c>
      <c r="H106" s="9" t="s">
        <v>11</v>
      </c>
      <c r="I106" s="9" t="s">
        <v>12</v>
      </c>
      <c r="J106" s="9" t="s">
        <v>13</v>
      </c>
      <c r="K106" s="9" t="s">
        <v>14</v>
      </c>
      <c r="L106" s="9" t="s">
        <v>15</v>
      </c>
    </row>
    <row r="107">
      <c r="A107" s="27">
        <v>1.0</v>
      </c>
      <c r="B107" s="17" t="s">
        <v>16</v>
      </c>
      <c r="C107" s="7">
        <f t="shared" ref="C107:C136" si="7">E107+F107+G107+H107+I107+J107+K107+L107</f>
        <v>23</v>
      </c>
      <c r="D107" s="13"/>
      <c r="E107" s="7">
        <v>0.0</v>
      </c>
      <c r="F107" s="7">
        <v>0.0</v>
      </c>
      <c r="G107" s="7">
        <v>0.0</v>
      </c>
      <c r="H107" s="7">
        <v>0.0</v>
      </c>
      <c r="I107" s="7">
        <v>23.0</v>
      </c>
      <c r="J107" s="7">
        <v>0.0</v>
      </c>
      <c r="K107" s="7">
        <v>0.0</v>
      </c>
      <c r="L107" s="7">
        <v>0.0</v>
      </c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>
      <c r="A108" s="10">
        <v>2.0</v>
      </c>
      <c r="B108" s="11" t="s">
        <v>17</v>
      </c>
      <c r="C108" s="12">
        <f t="shared" si="7"/>
        <v>0</v>
      </c>
      <c r="D108" s="13"/>
      <c r="E108" s="12">
        <v>0.0</v>
      </c>
      <c r="F108" s="12">
        <v>0.0</v>
      </c>
      <c r="G108" s="12">
        <v>0.0</v>
      </c>
      <c r="H108" s="12">
        <v>0.0</v>
      </c>
      <c r="I108" s="12">
        <v>0.0</v>
      </c>
      <c r="J108" s="12">
        <v>0.0</v>
      </c>
      <c r="K108" s="12">
        <v>0.0</v>
      </c>
      <c r="L108" s="12">
        <v>0.0</v>
      </c>
    </row>
    <row r="109">
      <c r="A109" s="10">
        <v>3.0</v>
      </c>
      <c r="B109" s="11" t="s">
        <v>18</v>
      </c>
      <c r="C109" s="12">
        <f t="shared" si="7"/>
        <v>0</v>
      </c>
      <c r="D109" s="13"/>
      <c r="E109" s="12">
        <v>0.0</v>
      </c>
      <c r="F109" s="12">
        <v>0.0</v>
      </c>
      <c r="G109" s="12">
        <v>0.0</v>
      </c>
      <c r="H109" s="12">
        <v>0.0</v>
      </c>
      <c r="I109" s="12">
        <v>0.0</v>
      </c>
      <c r="J109" s="12">
        <v>0.0</v>
      </c>
      <c r="K109" s="12">
        <v>0.0</v>
      </c>
      <c r="L109" s="12">
        <v>0.0</v>
      </c>
    </row>
    <row r="110">
      <c r="A110" s="10">
        <v>4.0</v>
      </c>
      <c r="B110" s="11" t="s">
        <v>19</v>
      </c>
      <c r="C110" s="12">
        <f t="shared" si="7"/>
        <v>0</v>
      </c>
      <c r="D110" s="13"/>
      <c r="E110" s="12">
        <v>0.0</v>
      </c>
      <c r="F110" s="12">
        <v>0.0</v>
      </c>
      <c r="G110" s="12">
        <v>0.0</v>
      </c>
      <c r="H110" s="12">
        <v>0.0</v>
      </c>
      <c r="I110" s="12">
        <v>0.0</v>
      </c>
      <c r="J110" s="12">
        <v>0.0</v>
      </c>
      <c r="K110" s="12">
        <v>0.0</v>
      </c>
      <c r="L110" s="12">
        <v>0.0</v>
      </c>
    </row>
    <row r="111">
      <c r="A111" s="27">
        <v>5.0</v>
      </c>
      <c r="B111" s="17" t="s">
        <v>20</v>
      </c>
      <c r="C111" s="7">
        <f t="shared" si="7"/>
        <v>1</v>
      </c>
      <c r="D111" s="13"/>
      <c r="E111" s="7">
        <v>1.0</v>
      </c>
      <c r="F111" s="7">
        <v>0.0</v>
      </c>
      <c r="G111" s="7">
        <v>0.0</v>
      </c>
      <c r="H111" s="7">
        <v>0.0</v>
      </c>
      <c r="I111" s="7">
        <v>0.0</v>
      </c>
      <c r="J111" s="7">
        <v>0.0</v>
      </c>
      <c r="K111" s="7">
        <v>0.0</v>
      </c>
      <c r="L111" s="7">
        <v>0.0</v>
      </c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>
      <c r="A112" s="10">
        <v>6.0</v>
      </c>
      <c r="B112" s="14" t="s">
        <v>21</v>
      </c>
      <c r="C112" s="12">
        <f t="shared" si="7"/>
        <v>0</v>
      </c>
      <c r="D112" s="13"/>
      <c r="E112" s="12">
        <v>0.0</v>
      </c>
      <c r="F112" s="12">
        <v>0.0</v>
      </c>
      <c r="G112" s="12">
        <v>0.0</v>
      </c>
      <c r="H112" s="12">
        <v>0.0</v>
      </c>
      <c r="I112" s="12">
        <v>0.0</v>
      </c>
      <c r="J112" s="12">
        <v>0.0</v>
      </c>
      <c r="K112" s="12">
        <v>0.0</v>
      </c>
      <c r="L112" s="12">
        <v>0.0</v>
      </c>
    </row>
    <row r="113">
      <c r="A113" s="10">
        <v>7.0</v>
      </c>
      <c r="B113" s="11" t="s">
        <v>23</v>
      </c>
      <c r="C113" s="12">
        <f t="shared" si="7"/>
        <v>0</v>
      </c>
      <c r="D113" s="13"/>
      <c r="E113" s="12">
        <v>0.0</v>
      </c>
      <c r="F113" s="12">
        <v>0.0</v>
      </c>
      <c r="G113" s="12">
        <v>0.0</v>
      </c>
      <c r="H113" s="12">
        <v>0.0</v>
      </c>
      <c r="I113" s="12">
        <v>0.0</v>
      </c>
      <c r="J113" s="12">
        <v>0.0</v>
      </c>
      <c r="K113" s="12">
        <v>0.0</v>
      </c>
      <c r="L113" s="12">
        <v>0.0</v>
      </c>
    </row>
    <row r="114">
      <c r="A114" s="10">
        <v>8.0</v>
      </c>
      <c r="B114" s="11" t="s">
        <v>25</v>
      </c>
      <c r="C114" s="12">
        <f t="shared" si="7"/>
        <v>0</v>
      </c>
      <c r="D114" s="13"/>
      <c r="E114" s="12">
        <v>0.0</v>
      </c>
      <c r="F114" s="12">
        <v>0.0</v>
      </c>
      <c r="G114" s="12">
        <v>0.0</v>
      </c>
      <c r="H114" s="12">
        <v>0.0</v>
      </c>
      <c r="I114" s="12">
        <v>0.0</v>
      </c>
      <c r="J114" s="12">
        <v>0.0</v>
      </c>
      <c r="K114" s="12">
        <v>0.0</v>
      </c>
      <c r="L114" s="12">
        <v>0.0</v>
      </c>
    </row>
    <row r="115">
      <c r="A115" s="10">
        <v>9.0</v>
      </c>
      <c r="B115" s="11" t="s">
        <v>26</v>
      </c>
      <c r="C115" s="12">
        <f t="shared" si="7"/>
        <v>0</v>
      </c>
      <c r="D115" s="13"/>
      <c r="E115" s="12">
        <v>0.0</v>
      </c>
      <c r="F115" s="12">
        <v>0.0</v>
      </c>
      <c r="G115" s="12">
        <v>0.0</v>
      </c>
      <c r="H115" s="12">
        <v>0.0</v>
      </c>
      <c r="I115" s="12">
        <v>0.0</v>
      </c>
      <c r="J115" s="12">
        <v>0.0</v>
      </c>
      <c r="K115" s="12">
        <v>0.0</v>
      </c>
      <c r="L115" s="12">
        <v>0.0</v>
      </c>
    </row>
    <row r="116">
      <c r="A116" s="10">
        <v>10.0</v>
      </c>
      <c r="B116" s="14" t="s">
        <v>27</v>
      </c>
      <c r="C116" s="12">
        <f t="shared" si="7"/>
        <v>0</v>
      </c>
      <c r="D116" s="13"/>
      <c r="E116" s="12">
        <v>0.0</v>
      </c>
      <c r="F116" s="12">
        <v>0.0</v>
      </c>
      <c r="G116" s="12">
        <v>0.0</v>
      </c>
      <c r="H116" s="12">
        <v>0.0</v>
      </c>
      <c r="I116" s="12">
        <v>0.0</v>
      </c>
      <c r="J116" s="12">
        <v>0.0</v>
      </c>
      <c r="K116" s="12">
        <v>0.0</v>
      </c>
      <c r="L116" s="12">
        <v>0.0</v>
      </c>
    </row>
    <row r="117">
      <c r="A117" s="10">
        <v>11.0</v>
      </c>
      <c r="B117" s="11" t="s">
        <v>28</v>
      </c>
      <c r="C117" s="12">
        <f t="shared" si="7"/>
        <v>0</v>
      </c>
      <c r="D117" s="13"/>
      <c r="E117" s="12">
        <v>0.0</v>
      </c>
      <c r="F117" s="12">
        <v>0.0</v>
      </c>
      <c r="G117" s="12">
        <v>0.0</v>
      </c>
      <c r="H117" s="12">
        <v>0.0</v>
      </c>
      <c r="I117" s="12">
        <v>0.0</v>
      </c>
      <c r="J117" s="12">
        <v>0.0</v>
      </c>
      <c r="K117" s="12">
        <v>0.0</v>
      </c>
      <c r="L117" s="12">
        <v>0.0</v>
      </c>
    </row>
    <row r="118">
      <c r="A118" s="10">
        <v>12.0</v>
      </c>
      <c r="B118" s="11" t="s">
        <v>29</v>
      </c>
      <c r="C118" s="12">
        <f t="shared" si="7"/>
        <v>0</v>
      </c>
      <c r="D118" s="13"/>
      <c r="E118" s="12">
        <v>0.0</v>
      </c>
      <c r="F118" s="12">
        <v>0.0</v>
      </c>
      <c r="G118" s="12">
        <v>0.0</v>
      </c>
      <c r="H118" s="12">
        <v>0.0</v>
      </c>
      <c r="I118" s="12">
        <v>0.0</v>
      </c>
      <c r="J118" s="12">
        <v>0.0</v>
      </c>
      <c r="K118" s="12">
        <v>0.0</v>
      </c>
      <c r="L118" s="12">
        <v>0.0</v>
      </c>
    </row>
    <row r="119">
      <c r="A119" s="10">
        <v>13.0</v>
      </c>
      <c r="B119" s="11" t="s">
        <v>30</v>
      </c>
      <c r="C119" s="12">
        <f t="shared" si="7"/>
        <v>0</v>
      </c>
      <c r="D119" s="13"/>
      <c r="E119" s="12">
        <v>0.0</v>
      </c>
      <c r="F119" s="12">
        <v>0.0</v>
      </c>
      <c r="G119" s="12">
        <v>0.0</v>
      </c>
      <c r="H119" s="12">
        <v>0.0</v>
      </c>
      <c r="I119" s="12">
        <v>0.0</v>
      </c>
      <c r="J119" s="12">
        <v>0.0</v>
      </c>
      <c r="K119" s="12">
        <v>0.0</v>
      </c>
      <c r="L119" s="12">
        <v>0.0</v>
      </c>
    </row>
    <row r="120">
      <c r="A120" s="10">
        <v>14.0</v>
      </c>
      <c r="B120" s="11" t="s">
        <v>31</v>
      </c>
      <c r="C120" s="12">
        <f t="shared" si="7"/>
        <v>0</v>
      </c>
      <c r="D120" s="13"/>
      <c r="E120" s="12">
        <v>0.0</v>
      </c>
      <c r="F120" s="12">
        <v>0.0</v>
      </c>
      <c r="G120" s="12">
        <v>0.0</v>
      </c>
      <c r="H120" s="12">
        <v>0.0</v>
      </c>
      <c r="I120" s="12">
        <v>0.0</v>
      </c>
      <c r="J120" s="12">
        <v>0.0</v>
      </c>
      <c r="K120" s="12">
        <v>0.0</v>
      </c>
      <c r="L120" s="12">
        <v>0.0</v>
      </c>
    </row>
    <row r="121">
      <c r="A121" s="10">
        <v>15.0</v>
      </c>
      <c r="B121" s="11" t="s">
        <v>32</v>
      </c>
      <c r="C121" s="12">
        <f t="shared" si="7"/>
        <v>0</v>
      </c>
      <c r="D121" s="13"/>
      <c r="E121" s="12">
        <v>0.0</v>
      </c>
      <c r="F121" s="12">
        <v>0.0</v>
      </c>
      <c r="G121" s="12">
        <v>0.0</v>
      </c>
      <c r="H121" s="12">
        <v>0.0</v>
      </c>
      <c r="I121" s="12">
        <v>0.0</v>
      </c>
      <c r="J121" s="12">
        <v>0.0</v>
      </c>
      <c r="K121" s="12">
        <v>0.0</v>
      </c>
      <c r="L121" s="12">
        <v>0.0</v>
      </c>
    </row>
    <row r="122">
      <c r="A122" s="10">
        <v>16.0</v>
      </c>
      <c r="B122" s="14" t="s">
        <v>33</v>
      </c>
      <c r="C122" s="12">
        <f t="shared" si="7"/>
        <v>0</v>
      </c>
      <c r="D122" s="13"/>
      <c r="E122" s="12">
        <v>0.0</v>
      </c>
      <c r="F122" s="12">
        <v>0.0</v>
      </c>
      <c r="G122" s="12">
        <v>0.0</v>
      </c>
      <c r="H122" s="12">
        <v>0.0</v>
      </c>
      <c r="I122" s="12">
        <v>0.0</v>
      </c>
      <c r="J122" s="12">
        <v>0.0</v>
      </c>
      <c r="K122" s="12">
        <v>0.0</v>
      </c>
      <c r="L122" s="12">
        <v>0.0</v>
      </c>
    </row>
    <row r="123">
      <c r="A123" s="10">
        <v>17.0</v>
      </c>
      <c r="B123" s="14" t="s">
        <v>34</v>
      </c>
      <c r="C123" s="12">
        <f t="shared" si="7"/>
        <v>0</v>
      </c>
      <c r="D123" s="13"/>
      <c r="E123" s="12">
        <v>0.0</v>
      </c>
      <c r="F123" s="12">
        <v>0.0</v>
      </c>
      <c r="G123" s="12">
        <v>0.0</v>
      </c>
      <c r="H123" s="12">
        <v>0.0</v>
      </c>
      <c r="I123" s="12">
        <v>0.0</v>
      </c>
      <c r="J123" s="12">
        <v>0.0</v>
      </c>
      <c r="K123" s="12">
        <v>0.0</v>
      </c>
      <c r="L123" s="12">
        <v>0.0</v>
      </c>
    </row>
    <row r="124">
      <c r="A124" s="10">
        <v>18.0</v>
      </c>
      <c r="B124" s="14" t="s">
        <v>35</v>
      </c>
      <c r="C124" s="12">
        <f t="shared" si="7"/>
        <v>0</v>
      </c>
      <c r="D124" s="13"/>
      <c r="E124" s="12">
        <v>0.0</v>
      </c>
      <c r="F124" s="12">
        <v>0.0</v>
      </c>
      <c r="G124" s="12">
        <v>0.0</v>
      </c>
      <c r="H124" s="12">
        <v>0.0</v>
      </c>
      <c r="I124" s="12">
        <v>0.0</v>
      </c>
      <c r="J124" s="12">
        <v>0.0</v>
      </c>
      <c r="K124" s="12">
        <v>0.0</v>
      </c>
      <c r="L124" s="12">
        <v>0.0</v>
      </c>
    </row>
    <row r="125">
      <c r="A125" s="16">
        <v>19.0</v>
      </c>
      <c r="B125" s="11" t="s">
        <v>36</v>
      </c>
      <c r="C125" s="12">
        <f t="shared" si="7"/>
        <v>0</v>
      </c>
      <c r="D125" s="13"/>
      <c r="E125" s="12">
        <v>0.0</v>
      </c>
      <c r="F125" s="12">
        <v>0.0</v>
      </c>
      <c r="G125" s="12">
        <v>0.0</v>
      </c>
      <c r="H125" s="12">
        <v>0.0</v>
      </c>
      <c r="I125" s="12">
        <v>0.0</v>
      </c>
      <c r="J125" s="12">
        <v>0.0</v>
      </c>
      <c r="K125" s="12">
        <v>0.0</v>
      </c>
      <c r="L125" s="12">
        <v>0.0</v>
      </c>
    </row>
    <row r="126">
      <c r="A126" s="16">
        <v>20.0</v>
      </c>
      <c r="B126" s="14" t="s">
        <v>37</v>
      </c>
      <c r="C126" s="12">
        <f t="shared" si="7"/>
        <v>0</v>
      </c>
      <c r="D126" s="13"/>
      <c r="E126" s="12">
        <v>0.0</v>
      </c>
      <c r="F126" s="12">
        <v>0.0</v>
      </c>
      <c r="G126" s="12">
        <v>0.0</v>
      </c>
      <c r="H126" s="12">
        <v>0.0</v>
      </c>
      <c r="I126" s="12">
        <v>0.0</v>
      </c>
      <c r="J126" s="12">
        <v>0.0</v>
      </c>
      <c r="K126" s="12">
        <v>0.0</v>
      </c>
      <c r="L126" s="12">
        <v>0.0</v>
      </c>
    </row>
    <row r="127">
      <c r="A127" s="10">
        <v>21.0</v>
      </c>
      <c r="B127" s="11" t="s">
        <v>38</v>
      </c>
      <c r="C127" s="12">
        <f t="shared" si="7"/>
        <v>0</v>
      </c>
      <c r="D127" s="13"/>
      <c r="E127" s="12">
        <v>0.0</v>
      </c>
      <c r="F127" s="12">
        <v>0.0</v>
      </c>
      <c r="G127" s="12">
        <v>0.0</v>
      </c>
      <c r="H127" s="12">
        <v>0.0</v>
      </c>
      <c r="I127" s="12">
        <v>0.0</v>
      </c>
      <c r="J127" s="12">
        <v>0.0</v>
      </c>
      <c r="K127" s="12">
        <v>0.0</v>
      </c>
      <c r="L127" s="12">
        <v>0.0</v>
      </c>
    </row>
    <row r="128">
      <c r="A128" s="10">
        <v>22.0</v>
      </c>
      <c r="B128" s="11" t="s">
        <v>39</v>
      </c>
      <c r="C128" s="12">
        <f t="shared" si="7"/>
        <v>0</v>
      </c>
      <c r="D128" s="13"/>
      <c r="E128" s="12">
        <v>0.0</v>
      </c>
      <c r="F128" s="12">
        <v>0.0</v>
      </c>
      <c r="G128" s="12">
        <v>0.0</v>
      </c>
      <c r="H128" s="12">
        <v>0.0</v>
      </c>
      <c r="I128" s="12">
        <v>0.0</v>
      </c>
      <c r="J128" s="12">
        <v>0.0</v>
      </c>
      <c r="K128" s="12">
        <v>0.0</v>
      </c>
      <c r="L128" s="12">
        <v>0.0</v>
      </c>
    </row>
    <row r="129">
      <c r="A129" s="10">
        <v>23.0</v>
      </c>
      <c r="B129" s="14" t="s">
        <v>40</v>
      </c>
      <c r="C129" s="12">
        <f t="shared" si="7"/>
        <v>0</v>
      </c>
      <c r="D129" s="13"/>
      <c r="E129" s="12">
        <v>0.0</v>
      </c>
      <c r="F129" s="12">
        <v>0.0</v>
      </c>
      <c r="G129" s="12">
        <v>0.0</v>
      </c>
      <c r="H129" s="12">
        <v>0.0</v>
      </c>
      <c r="I129" s="12">
        <v>0.0</v>
      </c>
      <c r="J129" s="12">
        <v>0.0</v>
      </c>
      <c r="K129" s="12">
        <v>0.0</v>
      </c>
      <c r="L129" s="12">
        <v>0.0</v>
      </c>
    </row>
    <row r="130">
      <c r="A130" s="10">
        <v>24.0</v>
      </c>
      <c r="B130" s="14" t="s">
        <v>42</v>
      </c>
      <c r="C130" s="12">
        <f t="shared" si="7"/>
        <v>0</v>
      </c>
      <c r="D130" s="13"/>
      <c r="E130" s="12">
        <v>0.0</v>
      </c>
      <c r="F130" s="12">
        <v>0.0</v>
      </c>
      <c r="G130" s="12">
        <v>0.0</v>
      </c>
      <c r="H130" s="12">
        <v>0.0</v>
      </c>
      <c r="I130" s="12">
        <v>0.0</v>
      </c>
      <c r="J130" s="12">
        <v>0.0</v>
      </c>
      <c r="K130" s="12">
        <v>0.0</v>
      </c>
      <c r="L130" s="12">
        <v>0.0</v>
      </c>
    </row>
    <row r="131">
      <c r="A131" s="10">
        <v>25.0</v>
      </c>
      <c r="B131" s="14" t="s">
        <v>43</v>
      </c>
      <c r="C131" s="12">
        <f t="shared" si="7"/>
        <v>0</v>
      </c>
      <c r="D131" s="13"/>
      <c r="E131" s="12">
        <v>0.0</v>
      </c>
      <c r="F131" s="12">
        <v>0.0</v>
      </c>
      <c r="G131" s="12">
        <v>0.0</v>
      </c>
      <c r="H131" s="12">
        <v>0.0</v>
      </c>
      <c r="I131" s="12">
        <v>0.0</v>
      </c>
      <c r="J131" s="12">
        <v>0.0</v>
      </c>
      <c r="K131" s="12">
        <v>0.0</v>
      </c>
      <c r="L131" s="12">
        <v>0.0</v>
      </c>
    </row>
    <row r="132">
      <c r="A132" s="10">
        <v>26.0</v>
      </c>
      <c r="B132" s="11" t="s">
        <v>44</v>
      </c>
      <c r="C132" s="12">
        <f t="shared" si="7"/>
        <v>0</v>
      </c>
      <c r="D132" s="13"/>
      <c r="E132" s="12">
        <v>0.0</v>
      </c>
      <c r="F132" s="12">
        <v>0.0</v>
      </c>
      <c r="G132" s="12">
        <v>0.0</v>
      </c>
      <c r="H132" s="12">
        <v>0.0</v>
      </c>
      <c r="I132" s="12">
        <v>0.0</v>
      </c>
      <c r="J132" s="12">
        <v>0.0</v>
      </c>
      <c r="K132" s="12">
        <v>0.0</v>
      </c>
      <c r="L132" s="12">
        <v>0.0</v>
      </c>
    </row>
    <row r="133">
      <c r="A133" s="10">
        <v>27.0</v>
      </c>
      <c r="B133" s="11" t="s">
        <v>45</v>
      </c>
      <c r="C133" s="12">
        <f t="shared" si="7"/>
        <v>0</v>
      </c>
      <c r="D133" s="13"/>
      <c r="E133" s="12">
        <v>0.0</v>
      </c>
      <c r="F133" s="12">
        <v>0.0</v>
      </c>
      <c r="G133" s="12">
        <v>0.0</v>
      </c>
      <c r="H133" s="12">
        <v>0.0</v>
      </c>
      <c r="I133" s="12">
        <v>0.0</v>
      </c>
      <c r="J133" s="12">
        <v>0.0</v>
      </c>
      <c r="K133" s="12">
        <v>0.0</v>
      </c>
      <c r="L133" s="12">
        <v>0.0</v>
      </c>
    </row>
    <row r="134">
      <c r="A134" s="10">
        <v>28.0</v>
      </c>
      <c r="B134" s="17" t="s">
        <v>46</v>
      </c>
      <c r="C134" s="12">
        <f t="shared" si="7"/>
        <v>0</v>
      </c>
      <c r="D134" s="13"/>
      <c r="E134" s="12">
        <v>0.0</v>
      </c>
      <c r="F134" s="12">
        <v>0.0</v>
      </c>
      <c r="G134" s="12">
        <v>0.0</v>
      </c>
      <c r="H134" s="12">
        <v>0.0</v>
      </c>
      <c r="I134" s="12">
        <v>0.0</v>
      </c>
      <c r="J134" s="12">
        <v>0.0</v>
      </c>
      <c r="K134" s="12">
        <v>0.0</v>
      </c>
      <c r="L134" s="12">
        <v>0.0</v>
      </c>
    </row>
    <row r="135">
      <c r="A135" s="10">
        <v>29.0</v>
      </c>
      <c r="B135" s="11" t="s">
        <v>15</v>
      </c>
      <c r="C135" s="12">
        <f t="shared" si="7"/>
        <v>0</v>
      </c>
      <c r="D135" s="13"/>
      <c r="E135" s="12">
        <v>0.0</v>
      </c>
      <c r="F135" s="12">
        <v>0.0</v>
      </c>
      <c r="G135" s="12">
        <v>0.0</v>
      </c>
      <c r="H135" s="12">
        <v>0.0</v>
      </c>
      <c r="I135" s="12">
        <v>0.0</v>
      </c>
      <c r="J135" s="12">
        <v>0.0</v>
      </c>
      <c r="K135" s="12">
        <v>0.0</v>
      </c>
      <c r="L135" s="12">
        <v>0.0</v>
      </c>
    </row>
    <row r="136">
      <c r="A136" s="10">
        <v>30.0</v>
      </c>
      <c r="B136" s="11" t="s">
        <v>47</v>
      </c>
      <c r="C136" s="12">
        <f t="shared" si="7"/>
        <v>0</v>
      </c>
      <c r="D136" s="18"/>
      <c r="E136" s="12">
        <v>0.0</v>
      </c>
      <c r="F136" s="12">
        <v>0.0</v>
      </c>
      <c r="G136" s="12">
        <v>0.0</v>
      </c>
      <c r="H136" s="12">
        <v>0.0</v>
      </c>
      <c r="I136" s="12">
        <v>0.0</v>
      </c>
      <c r="J136" s="12">
        <v>0.0</v>
      </c>
      <c r="K136" s="12">
        <v>0.0</v>
      </c>
      <c r="L136" s="12">
        <v>0.0</v>
      </c>
    </row>
    <row r="137">
      <c r="A137" s="30" t="s">
        <v>63</v>
      </c>
      <c r="B137" s="3"/>
      <c r="C137" s="20">
        <f>SUM(C107:C136)</f>
        <v>24</v>
      </c>
      <c r="D137" s="21"/>
      <c r="E137" s="20">
        <f t="shared" ref="E137:L137" si="8">SUM(E107:E136)</f>
        <v>1</v>
      </c>
      <c r="F137" s="20">
        <f t="shared" si="8"/>
        <v>0</v>
      </c>
      <c r="G137" s="20">
        <f t="shared" si="8"/>
        <v>0</v>
      </c>
      <c r="H137" s="20">
        <f t="shared" si="8"/>
        <v>0</v>
      </c>
      <c r="I137" s="20">
        <f t="shared" si="8"/>
        <v>23</v>
      </c>
      <c r="J137" s="20">
        <f t="shared" si="8"/>
        <v>0</v>
      </c>
      <c r="K137" s="20">
        <f t="shared" si="8"/>
        <v>0</v>
      </c>
      <c r="L137" s="20">
        <f t="shared" si="8"/>
        <v>0</v>
      </c>
    </row>
    <row r="138">
      <c r="A138" s="31" t="s">
        <v>64</v>
      </c>
      <c r="B138" s="2"/>
      <c r="C138" s="3"/>
      <c r="D138" s="41"/>
      <c r="E138" s="33">
        <f>C103+C137</f>
        <v>476</v>
      </c>
      <c r="F138" s="41"/>
      <c r="G138" s="2"/>
      <c r="H138" s="2"/>
      <c r="I138" s="2"/>
      <c r="J138" s="2"/>
      <c r="K138" s="2"/>
      <c r="L138" s="3"/>
    </row>
    <row r="139">
      <c r="A139" s="2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3"/>
    </row>
    <row r="140">
      <c r="A140" s="35" t="s">
        <v>65</v>
      </c>
      <c r="B140" s="2"/>
      <c r="C140" s="3"/>
      <c r="D140" s="42"/>
      <c r="E140" s="6" t="s">
        <v>66</v>
      </c>
      <c r="F140" s="2"/>
      <c r="G140" s="2"/>
      <c r="H140" s="2"/>
      <c r="I140" s="2"/>
      <c r="J140" s="2"/>
      <c r="K140" s="2"/>
      <c r="L140" s="3"/>
    </row>
    <row r="141">
      <c r="A141" s="7" t="s">
        <v>5</v>
      </c>
      <c r="B141" s="7" t="s">
        <v>67</v>
      </c>
      <c r="C141" s="7" t="s">
        <v>7</v>
      </c>
      <c r="D141" s="8"/>
      <c r="E141" s="9" t="s">
        <v>8</v>
      </c>
      <c r="F141" s="9" t="s">
        <v>9</v>
      </c>
      <c r="G141" s="9" t="s">
        <v>10</v>
      </c>
      <c r="H141" s="9" t="s">
        <v>11</v>
      </c>
      <c r="I141" s="9" t="s">
        <v>12</v>
      </c>
      <c r="J141" s="9" t="s">
        <v>13</v>
      </c>
      <c r="K141" s="9" t="s">
        <v>14</v>
      </c>
      <c r="L141" s="9" t="s">
        <v>15</v>
      </c>
    </row>
    <row r="142">
      <c r="A142" s="27">
        <v>1.0</v>
      </c>
      <c r="B142" s="17" t="s">
        <v>16</v>
      </c>
      <c r="C142" s="7">
        <f t="shared" ref="C142:C171" si="9">E142+F142+G142+H142+I142+J142+K142+L142</f>
        <v>2</v>
      </c>
      <c r="D142" s="13"/>
      <c r="E142" s="7">
        <v>2.0</v>
      </c>
      <c r="F142" s="7">
        <v>0.0</v>
      </c>
      <c r="G142" s="7">
        <v>0.0</v>
      </c>
      <c r="H142" s="7">
        <v>0.0</v>
      </c>
      <c r="I142" s="7">
        <v>0.0</v>
      </c>
      <c r="J142" s="7">
        <v>0.0</v>
      </c>
      <c r="K142" s="7">
        <v>0.0</v>
      </c>
      <c r="L142" s="7">
        <v>0.0</v>
      </c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>
      <c r="A143" s="10">
        <v>2.0</v>
      </c>
      <c r="B143" s="11" t="s">
        <v>17</v>
      </c>
      <c r="C143" s="12">
        <f t="shared" si="9"/>
        <v>0</v>
      </c>
      <c r="D143" s="13"/>
      <c r="E143" s="12">
        <v>0.0</v>
      </c>
      <c r="F143" s="12">
        <v>0.0</v>
      </c>
      <c r="G143" s="12">
        <v>0.0</v>
      </c>
      <c r="H143" s="12">
        <v>0.0</v>
      </c>
      <c r="I143" s="12">
        <v>0.0</v>
      </c>
      <c r="J143" s="12">
        <v>0.0</v>
      </c>
      <c r="K143" s="12">
        <v>0.0</v>
      </c>
      <c r="L143" s="12">
        <v>0.0</v>
      </c>
    </row>
    <row r="144">
      <c r="A144" s="10">
        <v>3.0</v>
      </c>
      <c r="B144" s="11" t="s">
        <v>18</v>
      </c>
      <c r="C144" s="12">
        <f t="shared" si="9"/>
        <v>0</v>
      </c>
      <c r="D144" s="13"/>
      <c r="E144" s="12">
        <v>0.0</v>
      </c>
      <c r="F144" s="12">
        <v>0.0</v>
      </c>
      <c r="G144" s="12">
        <v>0.0</v>
      </c>
      <c r="H144" s="12">
        <v>0.0</v>
      </c>
      <c r="I144" s="12">
        <v>0.0</v>
      </c>
      <c r="J144" s="12">
        <v>0.0</v>
      </c>
      <c r="K144" s="12">
        <v>0.0</v>
      </c>
      <c r="L144" s="12">
        <v>0.0</v>
      </c>
    </row>
    <row r="145">
      <c r="A145" s="10">
        <v>4.0</v>
      </c>
      <c r="B145" s="11" t="s">
        <v>19</v>
      </c>
      <c r="C145" s="12">
        <f t="shared" si="9"/>
        <v>0</v>
      </c>
      <c r="D145" s="13"/>
      <c r="E145" s="12">
        <v>0.0</v>
      </c>
      <c r="F145" s="12">
        <v>0.0</v>
      </c>
      <c r="G145" s="12">
        <v>0.0</v>
      </c>
      <c r="H145" s="12">
        <v>0.0</v>
      </c>
      <c r="I145" s="12">
        <v>0.0</v>
      </c>
      <c r="J145" s="12">
        <v>0.0</v>
      </c>
      <c r="K145" s="12">
        <v>0.0</v>
      </c>
      <c r="L145" s="12">
        <v>0.0</v>
      </c>
    </row>
    <row r="146">
      <c r="A146" s="27">
        <v>5.0</v>
      </c>
      <c r="B146" s="17" t="s">
        <v>20</v>
      </c>
      <c r="C146" s="7">
        <f t="shared" si="9"/>
        <v>33</v>
      </c>
      <c r="D146" s="13"/>
      <c r="E146" s="7">
        <v>32.0</v>
      </c>
      <c r="F146" s="7">
        <v>1.0</v>
      </c>
      <c r="G146" s="7">
        <v>0.0</v>
      </c>
      <c r="H146" s="7">
        <v>0.0</v>
      </c>
      <c r="I146" s="7">
        <v>0.0</v>
      </c>
      <c r="J146" s="7">
        <v>0.0</v>
      </c>
      <c r="K146" s="7">
        <v>0.0</v>
      </c>
      <c r="L146" s="7">
        <v>0.0</v>
      </c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>
      <c r="A147" s="10">
        <v>6.0</v>
      </c>
      <c r="B147" s="14" t="s">
        <v>21</v>
      </c>
      <c r="C147" s="12">
        <f t="shared" si="9"/>
        <v>0</v>
      </c>
      <c r="D147" s="13"/>
      <c r="E147" s="12">
        <v>0.0</v>
      </c>
      <c r="F147" s="12">
        <v>0.0</v>
      </c>
      <c r="G147" s="12">
        <v>0.0</v>
      </c>
      <c r="H147" s="12">
        <v>0.0</v>
      </c>
      <c r="I147" s="12">
        <v>0.0</v>
      </c>
      <c r="J147" s="12">
        <v>0.0</v>
      </c>
      <c r="K147" s="12">
        <v>0.0</v>
      </c>
      <c r="L147" s="12">
        <v>0.0</v>
      </c>
    </row>
    <row r="148">
      <c r="A148" s="10">
        <v>7.0</v>
      </c>
      <c r="B148" s="11" t="s">
        <v>23</v>
      </c>
      <c r="C148" s="12">
        <f t="shared" si="9"/>
        <v>0</v>
      </c>
      <c r="D148" s="13"/>
      <c r="E148" s="12">
        <v>0.0</v>
      </c>
      <c r="F148" s="12">
        <v>0.0</v>
      </c>
      <c r="G148" s="12">
        <v>0.0</v>
      </c>
      <c r="H148" s="12">
        <v>0.0</v>
      </c>
      <c r="I148" s="12">
        <v>0.0</v>
      </c>
      <c r="J148" s="12">
        <v>0.0</v>
      </c>
      <c r="K148" s="12">
        <v>0.0</v>
      </c>
      <c r="L148" s="12">
        <v>0.0</v>
      </c>
    </row>
    <row r="149">
      <c r="A149" s="10">
        <v>8.0</v>
      </c>
      <c r="B149" s="11" t="s">
        <v>25</v>
      </c>
      <c r="C149" s="12">
        <f t="shared" si="9"/>
        <v>0</v>
      </c>
      <c r="D149" s="13"/>
      <c r="E149" s="12">
        <v>0.0</v>
      </c>
      <c r="F149" s="12">
        <v>0.0</v>
      </c>
      <c r="G149" s="12">
        <v>0.0</v>
      </c>
      <c r="H149" s="12">
        <v>0.0</v>
      </c>
      <c r="I149" s="12">
        <v>0.0</v>
      </c>
      <c r="J149" s="12">
        <v>0.0</v>
      </c>
      <c r="K149" s="12">
        <v>0.0</v>
      </c>
      <c r="L149" s="12">
        <v>0.0</v>
      </c>
    </row>
    <row r="150">
      <c r="A150" s="10">
        <v>9.0</v>
      </c>
      <c r="B150" s="11" t="s">
        <v>26</v>
      </c>
      <c r="C150" s="12">
        <f t="shared" si="9"/>
        <v>0</v>
      </c>
      <c r="D150" s="13"/>
      <c r="E150" s="12">
        <v>0.0</v>
      </c>
      <c r="F150" s="12">
        <v>0.0</v>
      </c>
      <c r="G150" s="12">
        <v>0.0</v>
      </c>
      <c r="H150" s="12">
        <v>0.0</v>
      </c>
      <c r="I150" s="12">
        <v>0.0</v>
      </c>
      <c r="J150" s="12">
        <v>0.0</v>
      </c>
      <c r="K150" s="12">
        <v>0.0</v>
      </c>
      <c r="L150" s="12">
        <v>0.0</v>
      </c>
    </row>
    <row r="151">
      <c r="A151" s="27">
        <v>10.0</v>
      </c>
      <c r="B151" s="29" t="s">
        <v>27</v>
      </c>
      <c r="C151" s="7">
        <f t="shared" si="9"/>
        <v>4</v>
      </c>
      <c r="D151" s="13"/>
      <c r="E151" s="7">
        <v>0.0</v>
      </c>
      <c r="F151" s="7">
        <v>0.0</v>
      </c>
      <c r="G151" s="7">
        <v>4.0</v>
      </c>
      <c r="H151" s="7">
        <v>0.0</v>
      </c>
      <c r="I151" s="7">
        <v>0.0</v>
      </c>
      <c r="J151" s="7">
        <v>0.0</v>
      </c>
      <c r="K151" s="7">
        <v>0.0</v>
      </c>
      <c r="L151" s="7">
        <v>0.0</v>
      </c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>
      <c r="A152" s="10">
        <v>11.0</v>
      </c>
      <c r="B152" s="11" t="s">
        <v>28</v>
      </c>
      <c r="C152" s="12">
        <f t="shared" si="9"/>
        <v>0</v>
      </c>
      <c r="D152" s="13"/>
      <c r="E152" s="12">
        <v>0.0</v>
      </c>
      <c r="F152" s="12">
        <v>0.0</v>
      </c>
      <c r="G152" s="12">
        <v>0.0</v>
      </c>
      <c r="H152" s="12">
        <v>0.0</v>
      </c>
      <c r="I152" s="12">
        <v>0.0</v>
      </c>
      <c r="J152" s="12">
        <v>0.0</v>
      </c>
      <c r="K152" s="12">
        <v>0.0</v>
      </c>
      <c r="L152" s="12">
        <v>0.0</v>
      </c>
    </row>
    <row r="153">
      <c r="A153" s="27">
        <v>12.0</v>
      </c>
      <c r="B153" s="17" t="s">
        <v>29</v>
      </c>
      <c r="C153" s="7">
        <f t="shared" si="9"/>
        <v>10</v>
      </c>
      <c r="D153" s="13"/>
      <c r="E153" s="7">
        <v>0.0</v>
      </c>
      <c r="F153" s="7">
        <v>10.0</v>
      </c>
      <c r="G153" s="7">
        <v>0.0</v>
      </c>
      <c r="H153" s="7">
        <v>0.0</v>
      </c>
      <c r="I153" s="7">
        <v>0.0</v>
      </c>
      <c r="J153" s="7">
        <v>0.0</v>
      </c>
      <c r="K153" s="7">
        <v>0.0</v>
      </c>
      <c r="L153" s="7">
        <v>0.0</v>
      </c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>
      <c r="A154" s="10">
        <v>13.0</v>
      </c>
      <c r="B154" s="11" t="s">
        <v>30</v>
      </c>
      <c r="C154" s="12">
        <f t="shared" si="9"/>
        <v>6</v>
      </c>
      <c r="D154" s="13"/>
      <c r="E154" s="12">
        <v>0.0</v>
      </c>
      <c r="F154" s="12">
        <v>0.0</v>
      </c>
      <c r="G154" s="12">
        <v>6.0</v>
      </c>
      <c r="H154" s="12">
        <v>0.0</v>
      </c>
      <c r="I154" s="12">
        <v>0.0</v>
      </c>
      <c r="J154" s="12">
        <v>0.0</v>
      </c>
      <c r="K154" s="12">
        <v>0.0</v>
      </c>
      <c r="L154" s="12">
        <v>0.0</v>
      </c>
    </row>
    <row r="155">
      <c r="A155" s="10">
        <v>14.0</v>
      </c>
      <c r="B155" s="11" t="s">
        <v>31</v>
      </c>
      <c r="C155" s="12">
        <f t="shared" si="9"/>
        <v>0</v>
      </c>
      <c r="D155" s="13"/>
      <c r="E155" s="12">
        <v>0.0</v>
      </c>
      <c r="F155" s="12">
        <v>0.0</v>
      </c>
      <c r="G155" s="12">
        <v>0.0</v>
      </c>
      <c r="H155" s="12">
        <v>0.0</v>
      </c>
      <c r="I155" s="12">
        <v>0.0</v>
      </c>
      <c r="J155" s="12">
        <v>0.0</v>
      </c>
      <c r="K155" s="12">
        <v>0.0</v>
      </c>
      <c r="L155" s="12">
        <v>0.0</v>
      </c>
    </row>
    <row r="156">
      <c r="A156" s="10">
        <v>15.0</v>
      </c>
      <c r="B156" s="11" t="s">
        <v>32</v>
      </c>
      <c r="C156" s="12">
        <f t="shared" si="9"/>
        <v>0</v>
      </c>
      <c r="D156" s="13"/>
      <c r="E156" s="12">
        <v>0.0</v>
      </c>
      <c r="F156" s="12">
        <v>0.0</v>
      </c>
      <c r="G156" s="12">
        <v>0.0</v>
      </c>
      <c r="H156" s="12">
        <v>0.0</v>
      </c>
      <c r="I156" s="12">
        <v>0.0</v>
      </c>
      <c r="J156" s="12">
        <v>0.0</v>
      </c>
      <c r="K156" s="12">
        <v>0.0</v>
      </c>
      <c r="L156" s="12">
        <v>0.0</v>
      </c>
    </row>
    <row r="157">
      <c r="A157" s="10">
        <v>16.0</v>
      </c>
      <c r="B157" s="14" t="s">
        <v>33</v>
      </c>
      <c r="C157" s="12">
        <f t="shared" si="9"/>
        <v>0</v>
      </c>
      <c r="D157" s="13"/>
      <c r="E157" s="12">
        <v>0.0</v>
      </c>
      <c r="F157" s="12">
        <v>0.0</v>
      </c>
      <c r="G157" s="12">
        <v>0.0</v>
      </c>
      <c r="H157" s="12">
        <v>0.0</v>
      </c>
      <c r="I157" s="12">
        <v>0.0</v>
      </c>
      <c r="J157" s="12">
        <v>0.0</v>
      </c>
      <c r="K157" s="12">
        <v>0.0</v>
      </c>
      <c r="L157" s="12">
        <v>0.0</v>
      </c>
    </row>
    <row r="158">
      <c r="A158" s="27">
        <v>17.0</v>
      </c>
      <c r="B158" s="29" t="s">
        <v>34</v>
      </c>
      <c r="C158" s="7">
        <f t="shared" si="9"/>
        <v>38</v>
      </c>
      <c r="D158" s="13"/>
      <c r="E158" s="7">
        <v>0.0</v>
      </c>
      <c r="F158" s="7">
        <v>35.0</v>
      </c>
      <c r="G158" s="7">
        <v>1.0</v>
      </c>
      <c r="H158" s="7">
        <v>0.0</v>
      </c>
      <c r="I158" s="7">
        <v>2.0</v>
      </c>
      <c r="J158" s="7">
        <v>0.0</v>
      </c>
      <c r="K158" s="7">
        <v>0.0</v>
      </c>
      <c r="L158" s="7">
        <v>0.0</v>
      </c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>
      <c r="A159" s="10">
        <v>18.0</v>
      </c>
      <c r="B159" s="14" t="s">
        <v>35</v>
      </c>
      <c r="C159" s="12">
        <f t="shared" si="9"/>
        <v>0</v>
      </c>
      <c r="D159" s="13"/>
      <c r="E159" s="12">
        <v>0.0</v>
      </c>
      <c r="F159" s="12">
        <v>0.0</v>
      </c>
      <c r="G159" s="12">
        <v>0.0</v>
      </c>
      <c r="H159" s="12">
        <v>0.0</v>
      </c>
      <c r="I159" s="12">
        <v>0.0</v>
      </c>
      <c r="J159" s="12">
        <v>0.0</v>
      </c>
      <c r="K159" s="12">
        <v>0.0</v>
      </c>
      <c r="L159" s="12">
        <v>0.0</v>
      </c>
    </row>
    <row r="160">
      <c r="A160" s="16">
        <v>19.0</v>
      </c>
      <c r="B160" s="11" t="s">
        <v>36</v>
      </c>
      <c r="C160" s="12">
        <f t="shared" si="9"/>
        <v>0</v>
      </c>
      <c r="D160" s="13"/>
      <c r="E160" s="12">
        <v>0.0</v>
      </c>
      <c r="F160" s="12">
        <v>0.0</v>
      </c>
      <c r="G160" s="12">
        <v>0.0</v>
      </c>
      <c r="H160" s="12">
        <v>0.0</v>
      </c>
      <c r="I160" s="12">
        <v>0.0</v>
      </c>
      <c r="J160" s="12">
        <v>0.0</v>
      </c>
      <c r="K160" s="12">
        <v>0.0</v>
      </c>
      <c r="L160" s="12">
        <v>0.0</v>
      </c>
    </row>
    <row r="161">
      <c r="A161" s="16">
        <v>20.0</v>
      </c>
      <c r="B161" s="14" t="s">
        <v>37</v>
      </c>
      <c r="C161" s="12">
        <f t="shared" si="9"/>
        <v>0</v>
      </c>
      <c r="D161" s="13"/>
      <c r="E161" s="12">
        <v>0.0</v>
      </c>
      <c r="F161" s="12">
        <v>0.0</v>
      </c>
      <c r="G161" s="12">
        <v>0.0</v>
      </c>
      <c r="H161" s="12">
        <v>0.0</v>
      </c>
      <c r="I161" s="12">
        <v>0.0</v>
      </c>
      <c r="J161" s="12">
        <v>0.0</v>
      </c>
      <c r="K161" s="12">
        <v>0.0</v>
      </c>
      <c r="L161" s="12">
        <v>0.0</v>
      </c>
    </row>
    <row r="162">
      <c r="A162" s="10">
        <v>21.0</v>
      </c>
      <c r="B162" s="11" t="s">
        <v>38</v>
      </c>
      <c r="C162" s="12">
        <f t="shared" si="9"/>
        <v>0</v>
      </c>
      <c r="D162" s="13"/>
      <c r="E162" s="12">
        <v>0.0</v>
      </c>
      <c r="F162" s="12">
        <v>0.0</v>
      </c>
      <c r="G162" s="12">
        <v>0.0</v>
      </c>
      <c r="H162" s="12">
        <v>0.0</v>
      </c>
      <c r="I162" s="12">
        <v>0.0</v>
      </c>
      <c r="J162" s="12">
        <v>0.0</v>
      </c>
      <c r="K162" s="12">
        <v>0.0</v>
      </c>
      <c r="L162" s="12">
        <v>0.0</v>
      </c>
    </row>
    <row r="163">
      <c r="A163" s="10">
        <v>22.0</v>
      </c>
      <c r="B163" s="11" t="s">
        <v>39</v>
      </c>
      <c r="C163" s="12">
        <f t="shared" si="9"/>
        <v>0</v>
      </c>
      <c r="D163" s="13"/>
      <c r="E163" s="12">
        <v>0.0</v>
      </c>
      <c r="F163" s="12">
        <v>0.0</v>
      </c>
      <c r="G163" s="12">
        <v>0.0</v>
      </c>
      <c r="H163" s="12">
        <v>0.0</v>
      </c>
      <c r="I163" s="12">
        <v>0.0</v>
      </c>
      <c r="J163" s="12">
        <v>0.0</v>
      </c>
      <c r="K163" s="12">
        <v>0.0</v>
      </c>
      <c r="L163" s="12">
        <v>0.0</v>
      </c>
    </row>
    <row r="164">
      <c r="A164" s="10">
        <v>23.0</v>
      </c>
      <c r="B164" s="14" t="s">
        <v>40</v>
      </c>
      <c r="C164" s="12">
        <f t="shared" si="9"/>
        <v>13</v>
      </c>
      <c r="D164" s="13"/>
      <c r="E164" s="12">
        <v>13.0</v>
      </c>
      <c r="F164" s="12">
        <v>0.0</v>
      </c>
      <c r="G164" s="12">
        <v>0.0</v>
      </c>
      <c r="H164" s="12">
        <v>0.0</v>
      </c>
      <c r="I164" s="12">
        <v>0.0</v>
      </c>
      <c r="J164" s="12">
        <v>0.0</v>
      </c>
      <c r="K164" s="12">
        <v>0.0</v>
      </c>
      <c r="L164" s="12">
        <v>0.0</v>
      </c>
    </row>
    <row r="165">
      <c r="A165" s="10">
        <v>24.0</v>
      </c>
      <c r="B165" s="14" t="s">
        <v>42</v>
      </c>
      <c r="C165" s="12">
        <f t="shared" si="9"/>
        <v>0</v>
      </c>
      <c r="D165" s="13"/>
      <c r="E165" s="12">
        <v>0.0</v>
      </c>
      <c r="F165" s="12">
        <v>0.0</v>
      </c>
      <c r="G165" s="12">
        <v>0.0</v>
      </c>
      <c r="H165" s="12">
        <v>0.0</v>
      </c>
      <c r="I165" s="12">
        <v>0.0</v>
      </c>
      <c r="J165" s="12">
        <v>0.0</v>
      </c>
      <c r="K165" s="12">
        <v>0.0</v>
      </c>
      <c r="L165" s="12">
        <v>0.0</v>
      </c>
    </row>
    <row r="166">
      <c r="A166" s="10">
        <v>25.0</v>
      </c>
      <c r="B166" s="14" t="s">
        <v>43</v>
      </c>
      <c r="C166" s="12">
        <f t="shared" si="9"/>
        <v>0</v>
      </c>
      <c r="D166" s="13"/>
      <c r="E166" s="12">
        <v>0.0</v>
      </c>
      <c r="F166" s="12">
        <v>0.0</v>
      </c>
      <c r="G166" s="12">
        <v>0.0</v>
      </c>
      <c r="H166" s="12">
        <v>0.0</v>
      </c>
      <c r="I166" s="12">
        <v>0.0</v>
      </c>
      <c r="J166" s="12">
        <v>0.0</v>
      </c>
      <c r="K166" s="12">
        <v>0.0</v>
      </c>
      <c r="L166" s="12">
        <v>0.0</v>
      </c>
    </row>
    <row r="167">
      <c r="A167" s="10">
        <v>26.0</v>
      </c>
      <c r="B167" s="11" t="s">
        <v>44</v>
      </c>
      <c r="C167" s="12">
        <f t="shared" si="9"/>
        <v>0</v>
      </c>
      <c r="D167" s="13"/>
      <c r="E167" s="12">
        <v>0.0</v>
      </c>
      <c r="F167" s="12">
        <v>0.0</v>
      </c>
      <c r="G167" s="12">
        <v>0.0</v>
      </c>
      <c r="H167" s="12">
        <v>0.0</v>
      </c>
      <c r="I167" s="12">
        <v>0.0</v>
      </c>
      <c r="J167" s="12">
        <v>0.0</v>
      </c>
      <c r="K167" s="12">
        <v>0.0</v>
      </c>
      <c r="L167" s="12">
        <v>0.0</v>
      </c>
    </row>
    <row r="168">
      <c r="A168" s="10">
        <v>27.0</v>
      </c>
      <c r="B168" s="11" t="s">
        <v>45</v>
      </c>
      <c r="C168" s="12">
        <f t="shared" si="9"/>
        <v>0</v>
      </c>
      <c r="D168" s="13"/>
      <c r="E168" s="12">
        <v>0.0</v>
      </c>
      <c r="F168" s="12">
        <v>0.0</v>
      </c>
      <c r="G168" s="12">
        <v>0.0</v>
      </c>
      <c r="H168" s="12">
        <v>0.0</v>
      </c>
      <c r="I168" s="12">
        <v>0.0</v>
      </c>
      <c r="J168" s="12">
        <v>0.0</v>
      </c>
      <c r="K168" s="12">
        <v>0.0</v>
      </c>
      <c r="L168" s="12">
        <v>0.0</v>
      </c>
    </row>
    <row r="169">
      <c r="A169" s="10">
        <v>28.0</v>
      </c>
      <c r="B169" s="17" t="s">
        <v>46</v>
      </c>
      <c r="C169" s="12">
        <f t="shared" si="9"/>
        <v>0</v>
      </c>
      <c r="D169" s="13"/>
      <c r="E169" s="12">
        <v>0.0</v>
      </c>
      <c r="F169" s="12">
        <v>0.0</v>
      </c>
      <c r="G169" s="12">
        <v>0.0</v>
      </c>
      <c r="H169" s="12">
        <v>0.0</v>
      </c>
      <c r="I169" s="12">
        <v>0.0</v>
      </c>
      <c r="J169" s="12">
        <v>0.0</v>
      </c>
      <c r="K169" s="12">
        <v>0.0</v>
      </c>
      <c r="L169" s="12">
        <v>0.0</v>
      </c>
    </row>
    <row r="170">
      <c r="A170" s="10">
        <v>29.0</v>
      </c>
      <c r="B170" s="11" t="s">
        <v>15</v>
      </c>
      <c r="C170" s="12">
        <f t="shared" si="9"/>
        <v>0</v>
      </c>
      <c r="D170" s="13"/>
      <c r="E170" s="12">
        <v>0.0</v>
      </c>
      <c r="F170" s="12">
        <v>0.0</v>
      </c>
      <c r="G170" s="12">
        <v>0.0</v>
      </c>
      <c r="H170" s="12">
        <v>0.0</v>
      </c>
      <c r="I170" s="12">
        <v>0.0</v>
      </c>
      <c r="J170" s="12">
        <v>0.0</v>
      </c>
      <c r="K170" s="12">
        <v>0.0</v>
      </c>
      <c r="L170" s="12">
        <v>0.0</v>
      </c>
    </row>
    <row r="171">
      <c r="A171" s="10">
        <v>30.0</v>
      </c>
      <c r="B171" s="11" t="s">
        <v>47</v>
      </c>
      <c r="C171" s="12">
        <f t="shared" si="9"/>
        <v>0</v>
      </c>
      <c r="D171" s="18"/>
      <c r="E171" s="12">
        <v>0.0</v>
      </c>
      <c r="F171" s="12">
        <v>0.0</v>
      </c>
      <c r="G171" s="12">
        <v>0.0</v>
      </c>
      <c r="H171" s="12">
        <v>0.0</v>
      </c>
      <c r="I171" s="12">
        <v>0.0</v>
      </c>
      <c r="J171" s="12">
        <v>0.0</v>
      </c>
      <c r="K171" s="12">
        <v>0.0</v>
      </c>
      <c r="L171" s="12">
        <v>0.0</v>
      </c>
    </row>
    <row r="172">
      <c r="A172" s="19" t="s">
        <v>68</v>
      </c>
      <c r="B172" s="3"/>
      <c r="C172" s="20">
        <f>SUM(C142:C171)</f>
        <v>106</v>
      </c>
      <c r="D172" s="21"/>
      <c r="E172" s="20">
        <f t="shared" ref="E172:L172" si="10">SUM(E142:E171)</f>
        <v>47</v>
      </c>
      <c r="F172" s="20">
        <f t="shared" si="10"/>
        <v>46</v>
      </c>
      <c r="G172" s="20">
        <f t="shared" si="10"/>
        <v>11</v>
      </c>
      <c r="H172" s="20">
        <f t="shared" si="10"/>
        <v>0</v>
      </c>
      <c r="I172" s="20">
        <f t="shared" si="10"/>
        <v>2</v>
      </c>
      <c r="J172" s="20">
        <f t="shared" si="10"/>
        <v>0</v>
      </c>
      <c r="K172" s="20">
        <f t="shared" si="10"/>
        <v>0</v>
      </c>
      <c r="L172" s="20">
        <f t="shared" si="10"/>
        <v>0</v>
      </c>
    </row>
    <row r="173">
      <c r="A173" s="2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3"/>
    </row>
    <row r="174">
      <c r="A174" s="39" t="s">
        <v>69</v>
      </c>
      <c r="B174" s="2"/>
      <c r="C174" s="3"/>
      <c r="D174" s="40"/>
      <c r="E174" s="26" t="s">
        <v>70</v>
      </c>
      <c r="F174" s="2"/>
      <c r="G174" s="2"/>
      <c r="H174" s="2"/>
      <c r="I174" s="2"/>
      <c r="J174" s="2"/>
      <c r="K174" s="2"/>
      <c r="L174" s="3"/>
    </row>
    <row r="175">
      <c r="A175" s="7" t="s">
        <v>5</v>
      </c>
      <c r="B175" s="7" t="s">
        <v>71</v>
      </c>
      <c r="C175" s="7" t="s">
        <v>7</v>
      </c>
      <c r="D175" s="8"/>
      <c r="E175" s="9" t="s">
        <v>8</v>
      </c>
      <c r="F175" s="9" t="s">
        <v>9</v>
      </c>
      <c r="G175" s="9" t="s">
        <v>10</v>
      </c>
      <c r="H175" s="9" t="s">
        <v>11</v>
      </c>
      <c r="I175" s="9" t="s">
        <v>12</v>
      </c>
      <c r="J175" s="9" t="s">
        <v>13</v>
      </c>
      <c r="K175" s="9" t="s">
        <v>14</v>
      </c>
      <c r="L175" s="9" t="s">
        <v>15</v>
      </c>
    </row>
    <row r="176">
      <c r="A176" s="10">
        <v>1.0</v>
      </c>
      <c r="B176" s="11" t="s">
        <v>16</v>
      </c>
      <c r="C176" s="12">
        <f t="shared" ref="C176:C205" si="11">E176+F176+G176+H176+I176+J176+K176+L176</f>
        <v>0</v>
      </c>
      <c r="D176" s="13"/>
      <c r="E176" s="12">
        <v>0.0</v>
      </c>
      <c r="F176" s="12">
        <v>0.0</v>
      </c>
      <c r="G176" s="12">
        <v>0.0</v>
      </c>
      <c r="H176" s="12">
        <v>0.0</v>
      </c>
      <c r="I176" s="12">
        <v>0.0</v>
      </c>
      <c r="J176" s="12">
        <v>0.0</v>
      </c>
      <c r="K176" s="12">
        <v>0.0</v>
      </c>
      <c r="L176" s="12">
        <v>0.0</v>
      </c>
    </row>
    <row r="177">
      <c r="A177" s="10">
        <v>2.0</v>
      </c>
      <c r="B177" s="11" t="s">
        <v>17</v>
      </c>
      <c r="C177" s="12">
        <f t="shared" si="11"/>
        <v>0</v>
      </c>
      <c r="D177" s="13"/>
      <c r="E177" s="12">
        <v>0.0</v>
      </c>
      <c r="F177" s="12">
        <v>0.0</v>
      </c>
      <c r="G177" s="12">
        <v>0.0</v>
      </c>
      <c r="H177" s="12">
        <v>0.0</v>
      </c>
      <c r="I177" s="12">
        <v>0.0</v>
      </c>
      <c r="J177" s="12">
        <v>0.0</v>
      </c>
      <c r="K177" s="12">
        <v>0.0</v>
      </c>
      <c r="L177" s="12">
        <v>0.0</v>
      </c>
    </row>
    <row r="178">
      <c r="A178" s="10">
        <v>3.0</v>
      </c>
      <c r="B178" s="11" t="s">
        <v>18</v>
      </c>
      <c r="C178" s="12">
        <f t="shared" si="11"/>
        <v>0</v>
      </c>
      <c r="D178" s="13"/>
      <c r="E178" s="12">
        <v>0.0</v>
      </c>
      <c r="F178" s="12">
        <v>0.0</v>
      </c>
      <c r="G178" s="12">
        <v>0.0</v>
      </c>
      <c r="H178" s="12">
        <v>0.0</v>
      </c>
      <c r="I178" s="12">
        <v>0.0</v>
      </c>
      <c r="J178" s="12">
        <v>0.0</v>
      </c>
      <c r="K178" s="12">
        <v>0.0</v>
      </c>
      <c r="L178" s="12">
        <v>0.0</v>
      </c>
    </row>
    <row r="179">
      <c r="A179" s="10">
        <v>4.0</v>
      </c>
      <c r="B179" s="11" t="s">
        <v>19</v>
      </c>
      <c r="C179" s="12">
        <f t="shared" si="11"/>
        <v>0</v>
      </c>
      <c r="D179" s="13"/>
      <c r="E179" s="12">
        <v>0.0</v>
      </c>
      <c r="F179" s="12">
        <v>0.0</v>
      </c>
      <c r="G179" s="12">
        <v>0.0</v>
      </c>
      <c r="H179" s="12">
        <v>0.0</v>
      </c>
      <c r="I179" s="12">
        <v>0.0</v>
      </c>
      <c r="J179" s="12">
        <v>0.0</v>
      </c>
      <c r="K179" s="12">
        <v>0.0</v>
      </c>
      <c r="L179" s="12">
        <v>0.0</v>
      </c>
    </row>
    <row r="180">
      <c r="A180" s="10">
        <v>5.0</v>
      </c>
      <c r="B180" s="11" t="s">
        <v>20</v>
      </c>
      <c r="C180" s="12">
        <f t="shared" si="11"/>
        <v>0</v>
      </c>
      <c r="D180" s="13"/>
      <c r="E180" s="12">
        <v>0.0</v>
      </c>
      <c r="F180" s="12">
        <v>0.0</v>
      </c>
      <c r="G180" s="12">
        <v>0.0</v>
      </c>
      <c r="H180" s="12">
        <v>0.0</v>
      </c>
      <c r="I180" s="12">
        <v>0.0</v>
      </c>
      <c r="J180" s="12">
        <v>0.0</v>
      </c>
      <c r="K180" s="12">
        <v>0.0</v>
      </c>
      <c r="L180" s="12">
        <v>0.0</v>
      </c>
    </row>
    <row r="181">
      <c r="A181" s="10">
        <v>6.0</v>
      </c>
      <c r="B181" s="14" t="s">
        <v>21</v>
      </c>
      <c r="C181" s="12">
        <f t="shared" si="11"/>
        <v>0</v>
      </c>
      <c r="D181" s="13"/>
      <c r="E181" s="12">
        <v>0.0</v>
      </c>
      <c r="F181" s="12">
        <v>0.0</v>
      </c>
      <c r="G181" s="12">
        <v>0.0</v>
      </c>
      <c r="H181" s="12">
        <v>0.0</v>
      </c>
      <c r="I181" s="12">
        <v>0.0</v>
      </c>
      <c r="J181" s="12">
        <v>0.0</v>
      </c>
      <c r="K181" s="12">
        <v>0.0</v>
      </c>
      <c r="L181" s="12">
        <v>0.0</v>
      </c>
    </row>
    <row r="182">
      <c r="A182" s="10">
        <v>7.0</v>
      </c>
      <c r="B182" s="11" t="s">
        <v>23</v>
      </c>
      <c r="C182" s="12">
        <f t="shared" si="11"/>
        <v>0</v>
      </c>
      <c r="D182" s="13"/>
      <c r="E182" s="12">
        <v>0.0</v>
      </c>
      <c r="F182" s="12">
        <v>0.0</v>
      </c>
      <c r="G182" s="12">
        <v>0.0</v>
      </c>
      <c r="H182" s="12">
        <v>0.0</v>
      </c>
      <c r="I182" s="12">
        <v>0.0</v>
      </c>
      <c r="J182" s="12">
        <v>0.0</v>
      </c>
      <c r="K182" s="12">
        <v>0.0</v>
      </c>
      <c r="L182" s="12">
        <v>0.0</v>
      </c>
    </row>
    <row r="183">
      <c r="A183" s="10">
        <v>8.0</v>
      </c>
      <c r="B183" s="11" t="s">
        <v>25</v>
      </c>
      <c r="C183" s="12">
        <f t="shared" si="11"/>
        <v>0</v>
      </c>
      <c r="D183" s="13"/>
      <c r="E183" s="12">
        <v>0.0</v>
      </c>
      <c r="F183" s="12">
        <v>0.0</v>
      </c>
      <c r="G183" s="12">
        <v>0.0</v>
      </c>
      <c r="H183" s="12">
        <v>0.0</v>
      </c>
      <c r="I183" s="12">
        <v>0.0</v>
      </c>
      <c r="J183" s="12">
        <v>0.0</v>
      </c>
      <c r="K183" s="12">
        <v>0.0</v>
      </c>
      <c r="L183" s="12">
        <v>0.0</v>
      </c>
    </row>
    <row r="184">
      <c r="A184" s="10">
        <v>9.0</v>
      </c>
      <c r="B184" s="11" t="s">
        <v>26</v>
      </c>
      <c r="C184" s="12">
        <f t="shared" si="11"/>
        <v>0</v>
      </c>
      <c r="D184" s="13"/>
      <c r="E184" s="12">
        <v>0.0</v>
      </c>
      <c r="F184" s="12">
        <v>0.0</v>
      </c>
      <c r="G184" s="12">
        <v>0.0</v>
      </c>
      <c r="H184" s="12">
        <v>0.0</v>
      </c>
      <c r="I184" s="12">
        <v>0.0</v>
      </c>
      <c r="J184" s="12">
        <v>0.0</v>
      </c>
      <c r="K184" s="12">
        <v>0.0</v>
      </c>
      <c r="L184" s="12">
        <v>0.0</v>
      </c>
    </row>
    <row r="185">
      <c r="A185" s="10">
        <v>10.0</v>
      </c>
      <c r="B185" s="14" t="s">
        <v>27</v>
      </c>
      <c r="C185" s="12">
        <f t="shared" si="11"/>
        <v>0</v>
      </c>
      <c r="D185" s="13"/>
      <c r="E185" s="12">
        <v>0.0</v>
      </c>
      <c r="F185" s="12">
        <v>0.0</v>
      </c>
      <c r="G185" s="12">
        <v>0.0</v>
      </c>
      <c r="H185" s="12">
        <v>0.0</v>
      </c>
      <c r="I185" s="12">
        <v>0.0</v>
      </c>
      <c r="J185" s="12">
        <v>0.0</v>
      </c>
      <c r="K185" s="12">
        <v>0.0</v>
      </c>
      <c r="L185" s="12">
        <v>0.0</v>
      </c>
    </row>
    <row r="186">
      <c r="A186" s="10">
        <v>11.0</v>
      </c>
      <c r="B186" s="11" t="s">
        <v>28</v>
      </c>
      <c r="C186" s="12">
        <f t="shared" si="11"/>
        <v>0</v>
      </c>
      <c r="D186" s="13"/>
      <c r="E186" s="12">
        <v>0.0</v>
      </c>
      <c r="F186" s="12">
        <v>0.0</v>
      </c>
      <c r="G186" s="12">
        <v>0.0</v>
      </c>
      <c r="H186" s="12">
        <v>0.0</v>
      </c>
      <c r="I186" s="12">
        <v>0.0</v>
      </c>
      <c r="J186" s="12">
        <v>0.0</v>
      </c>
      <c r="K186" s="12">
        <v>0.0</v>
      </c>
      <c r="L186" s="12">
        <v>0.0</v>
      </c>
    </row>
    <row r="187">
      <c r="A187" s="27">
        <v>12.0</v>
      </c>
      <c r="B187" s="17" t="s">
        <v>29</v>
      </c>
      <c r="C187" s="7">
        <f t="shared" si="11"/>
        <v>1</v>
      </c>
      <c r="D187" s="13"/>
      <c r="E187" s="7">
        <v>0.0</v>
      </c>
      <c r="F187" s="7">
        <v>1.0</v>
      </c>
      <c r="G187" s="7">
        <v>0.0</v>
      </c>
      <c r="H187" s="7">
        <v>0.0</v>
      </c>
      <c r="I187" s="7">
        <v>0.0</v>
      </c>
      <c r="J187" s="7">
        <v>0.0</v>
      </c>
      <c r="K187" s="7">
        <v>0.0</v>
      </c>
      <c r="L187" s="7">
        <v>0.0</v>
      </c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>
      <c r="A188" s="10">
        <v>13.0</v>
      </c>
      <c r="B188" s="11" t="s">
        <v>30</v>
      </c>
      <c r="C188" s="12">
        <f t="shared" si="11"/>
        <v>0</v>
      </c>
      <c r="D188" s="13"/>
      <c r="E188" s="12">
        <v>0.0</v>
      </c>
      <c r="F188" s="12">
        <v>0.0</v>
      </c>
      <c r="G188" s="12">
        <v>0.0</v>
      </c>
      <c r="H188" s="12">
        <v>0.0</v>
      </c>
      <c r="I188" s="12">
        <v>0.0</v>
      </c>
      <c r="J188" s="12">
        <v>0.0</v>
      </c>
      <c r="K188" s="12">
        <v>0.0</v>
      </c>
      <c r="L188" s="12">
        <v>0.0</v>
      </c>
    </row>
    <row r="189">
      <c r="A189" s="10">
        <v>14.0</v>
      </c>
      <c r="B189" s="11" t="s">
        <v>31</v>
      </c>
      <c r="C189" s="12">
        <f t="shared" si="11"/>
        <v>0</v>
      </c>
      <c r="D189" s="13"/>
      <c r="E189" s="12">
        <v>0.0</v>
      </c>
      <c r="F189" s="12">
        <v>0.0</v>
      </c>
      <c r="G189" s="12">
        <v>0.0</v>
      </c>
      <c r="H189" s="12">
        <v>0.0</v>
      </c>
      <c r="I189" s="12">
        <v>0.0</v>
      </c>
      <c r="J189" s="12">
        <v>0.0</v>
      </c>
      <c r="K189" s="12">
        <v>0.0</v>
      </c>
      <c r="L189" s="12">
        <v>0.0</v>
      </c>
    </row>
    <row r="190">
      <c r="A190" s="10">
        <v>15.0</v>
      </c>
      <c r="B190" s="11" t="s">
        <v>32</v>
      </c>
      <c r="C190" s="12">
        <f t="shared" si="11"/>
        <v>0</v>
      </c>
      <c r="D190" s="13"/>
      <c r="E190" s="12">
        <v>0.0</v>
      </c>
      <c r="F190" s="12">
        <v>0.0</v>
      </c>
      <c r="G190" s="12">
        <v>0.0</v>
      </c>
      <c r="H190" s="12">
        <v>0.0</v>
      </c>
      <c r="I190" s="12">
        <v>0.0</v>
      </c>
      <c r="J190" s="12">
        <v>0.0</v>
      </c>
      <c r="K190" s="12">
        <v>0.0</v>
      </c>
      <c r="L190" s="12">
        <v>0.0</v>
      </c>
    </row>
    <row r="191">
      <c r="A191" s="10">
        <v>16.0</v>
      </c>
      <c r="B191" s="14" t="s">
        <v>33</v>
      </c>
      <c r="C191" s="12">
        <f t="shared" si="11"/>
        <v>0</v>
      </c>
      <c r="D191" s="13"/>
      <c r="E191" s="12">
        <v>0.0</v>
      </c>
      <c r="F191" s="12">
        <v>0.0</v>
      </c>
      <c r="G191" s="12">
        <v>0.0</v>
      </c>
      <c r="H191" s="12">
        <v>0.0</v>
      </c>
      <c r="I191" s="12">
        <v>0.0</v>
      </c>
      <c r="J191" s="12">
        <v>0.0</v>
      </c>
      <c r="K191" s="12">
        <v>0.0</v>
      </c>
      <c r="L191" s="12">
        <v>0.0</v>
      </c>
    </row>
    <row r="192">
      <c r="A192" s="27">
        <v>17.0</v>
      </c>
      <c r="B192" s="29" t="s">
        <v>34</v>
      </c>
      <c r="C192" s="7">
        <f t="shared" si="11"/>
        <v>21</v>
      </c>
      <c r="D192" s="13"/>
      <c r="E192" s="7">
        <v>0.0</v>
      </c>
      <c r="F192" s="7">
        <v>2.0</v>
      </c>
      <c r="G192" s="7">
        <v>19.0</v>
      </c>
      <c r="H192" s="7">
        <v>0.0</v>
      </c>
      <c r="I192" s="7">
        <v>0.0</v>
      </c>
      <c r="J192" s="7">
        <v>0.0</v>
      </c>
      <c r="K192" s="7">
        <v>0.0</v>
      </c>
      <c r="L192" s="7">
        <v>0.0</v>
      </c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>
      <c r="A193" s="10">
        <v>18.0</v>
      </c>
      <c r="B193" s="14" t="s">
        <v>35</v>
      </c>
      <c r="C193" s="12">
        <f t="shared" si="11"/>
        <v>0</v>
      </c>
      <c r="D193" s="13"/>
      <c r="E193" s="12">
        <v>0.0</v>
      </c>
      <c r="F193" s="12">
        <v>0.0</v>
      </c>
      <c r="G193" s="12">
        <v>0.0</v>
      </c>
      <c r="H193" s="12">
        <v>0.0</v>
      </c>
      <c r="I193" s="12">
        <v>0.0</v>
      </c>
      <c r="J193" s="12">
        <v>0.0</v>
      </c>
      <c r="K193" s="12">
        <v>0.0</v>
      </c>
      <c r="L193" s="12">
        <v>0.0</v>
      </c>
    </row>
    <row r="194">
      <c r="A194" s="16">
        <v>19.0</v>
      </c>
      <c r="B194" s="11" t="s">
        <v>36</v>
      </c>
      <c r="C194" s="12">
        <f t="shared" si="11"/>
        <v>0</v>
      </c>
      <c r="D194" s="13"/>
      <c r="E194" s="12">
        <v>0.0</v>
      </c>
      <c r="F194" s="12">
        <v>0.0</v>
      </c>
      <c r="G194" s="12">
        <v>0.0</v>
      </c>
      <c r="H194" s="12">
        <v>0.0</v>
      </c>
      <c r="I194" s="12">
        <v>0.0</v>
      </c>
      <c r="J194" s="12">
        <v>0.0</v>
      </c>
      <c r="K194" s="12">
        <v>0.0</v>
      </c>
      <c r="L194" s="12">
        <v>0.0</v>
      </c>
    </row>
    <row r="195">
      <c r="A195" s="16">
        <v>20.0</v>
      </c>
      <c r="B195" s="14" t="s">
        <v>37</v>
      </c>
      <c r="C195" s="12">
        <f t="shared" si="11"/>
        <v>0</v>
      </c>
      <c r="D195" s="13"/>
      <c r="E195" s="12">
        <v>0.0</v>
      </c>
      <c r="F195" s="12">
        <v>0.0</v>
      </c>
      <c r="G195" s="12">
        <v>0.0</v>
      </c>
      <c r="H195" s="12">
        <v>0.0</v>
      </c>
      <c r="I195" s="12">
        <v>0.0</v>
      </c>
      <c r="J195" s="12">
        <v>0.0</v>
      </c>
      <c r="K195" s="12">
        <v>0.0</v>
      </c>
      <c r="L195" s="12">
        <v>0.0</v>
      </c>
    </row>
    <row r="196">
      <c r="A196" s="10">
        <v>21.0</v>
      </c>
      <c r="B196" s="11" t="s">
        <v>38</v>
      </c>
      <c r="C196" s="12">
        <f t="shared" si="11"/>
        <v>0</v>
      </c>
      <c r="D196" s="13"/>
      <c r="E196" s="12">
        <v>0.0</v>
      </c>
      <c r="F196" s="12">
        <v>0.0</v>
      </c>
      <c r="G196" s="12">
        <v>0.0</v>
      </c>
      <c r="H196" s="12">
        <v>0.0</v>
      </c>
      <c r="I196" s="12">
        <v>0.0</v>
      </c>
      <c r="J196" s="12">
        <v>0.0</v>
      </c>
      <c r="K196" s="12">
        <v>0.0</v>
      </c>
      <c r="L196" s="12">
        <v>0.0</v>
      </c>
    </row>
    <row r="197">
      <c r="A197" s="10">
        <v>22.0</v>
      </c>
      <c r="B197" s="11" t="s">
        <v>39</v>
      </c>
      <c r="C197" s="12">
        <f t="shared" si="11"/>
        <v>0</v>
      </c>
      <c r="D197" s="13"/>
      <c r="E197" s="12">
        <v>0.0</v>
      </c>
      <c r="F197" s="12">
        <v>0.0</v>
      </c>
      <c r="G197" s="12">
        <v>0.0</v>
      </c>
      <c r="H197" s="12">
        <v>0.0</v>
      </c>
      <c r="I197" s="12">
        <v>0.0</v>
      </c>
      <c r="J197" s="12">
        <v>0.0</v>
      </c>
      <c r="K197" s="12">
        <v>0.0</v>
      </c>
      <c r="L197" s="12">
        <v>0.0</v>
      </c>
    </row>
    <row r="198">
      <c r="A198" s="10">
        <v>23.0</v>
      </c>
      <c r="B198" s="14" t="s">
        <v>40</v>
      </c>
      <c r="C198" s="12">
        <f t="shared" si="11"/>
        <v>0</v>
      </c>
      <c r="D198" s="13"/>
      <c r="E198" s="12">
        <v>0.0</v>
      </c>
      <c r="F198" s="12">
        <v>0.0</v>
      </c>
      <c r="G198" s="12">
        <v>0.0</v>
      </c>
      <c r="H198" s="12">
        <v>0.0</v>
      </c>
      <c r="I198" s="12">
        <v>0.0</v>
      </c>
      <c r="J198" s="12">
        <v>0.0</v>
      </c>
      <c r="K198" s="12">
        <v>0.0</v>
      </c>
      <c r="L198" s="12">
        <v>0.0</v>
      </c>
    </row>
    <row r="199">
      <c r="A199" s="10">
        <v>24.0</v>
      </c>
      <c r="B199" s="14" t="s">
        <v>42</v>
      </c>
      <c r="C199" s="12">
        <f t="shared" si="11"/>
        <v>0</v>
      </c>
      <c r="D199" s="13"/>
      <c r="E199" s="12">
        <v>0.0</v>
      </c>
      <c r="F199" s="12">
        <v>0.0</v>
      </c>
      <c r="G199" s="12">
        <v>0.0</v>
      </c>
      <c r="H199" s="12">
        <v>0.0</v>
      </c>
      <c r="I199" s="12">
        <v>0.0</v>
      </c>
      <c r="J199" s="12">
        <v>0.0</v>
      </c>
      <c r="K199" s="12">
        <v>0.0</v>
      </c>
      <c r="L199" s="12">
        <v>0.0</v>
      </c>
    </row>
    <row r="200">
      <c r="A200" s="10">
        <v>25.0</v>
      </c>
      <c r="B200" s="14" t="s">
        <v>43</v>
      </c>
      <c r="C200" s="12">
        <f t="shared" si="11"/>
        <v>0</v>
      </c>
      <c r="D200" s="13"/>
      <c r="E200" s="12">
        <v>0.0</v>
      </c>
      <c r="F200" s="12">
        <v>0.0</v>
      </c>
      <c r="G200" s="12">
        <v>0.0</v>
      </c>
      <c r="H200" s="12">
        <v>0.0</v>
      </c>
      <c r="I200" s="12">
        <v>0.0</v>
      </c>
      <c r="J200" s="12">
        <v>0.0</v>
      </c>
      <c r="K200" s="12">
        <v>0.0</v>
      </c>
      <c r="L200" s="12">
        <v>0.0</v>
      </c>
    </row>
    <row r="201">
      <c r="A201" s="10">
        <v>26.0</v>
      </c>
      <c r="B201" s="11" t="s">
        <v>44</v>
      </c>
      <c r="C201" s="12">
        <f t="shared" si="11"/>
        <v>0</v>
      </c>
      <c r="D201" s="13"/>
      <c r="E201" s="12">
        <v>0.0</v>
      </c>
      <c r="F201" s="12">
        <v>0.0</v>
      </c>
      <c r="G201" s="12">
        <v>0.0</v>
      </c>
      <c r="H201" s="12">
        <v>0.0</v>
      </c>
      <c r="I201" s="12">
        <v>0.0</v>
      </c>
      <c r="J201" s="12">
        <v>0.0</v>
      </c>
      <c r="K201" s="12">
        <v>0.0</v>
      </c>
      <c r="L201" s="12">
        <v>0.0</v>
      </c>
    </row>
    <row r="202">
      <c r="A202" s="10">
        <v>27.0</v>
      </c>
      <c r="B202" s="11" t="s">
        <v>45</v>
      </c>
      <c r="C202" s="12">
        <f t="shared" si="11"/>
        <v>0</v>
      </c>
      <c r="D202" s="13"/>
      <c r="E202" s="12">
        <v>0.0</v>
      </c>
      <c r="F202" s="12">
        <v>0.0</v>
      </c>
      <c r="G202" s="12">
        <v>0.0</v>
      </c>
      <c r="H202" s="12">
        <v>0.0</v>
      </c>
      <c r="I202" s="12">
        <v>0.0</v>
      </c>
      <c r="J202" s="12">
        <v>0.0</v>
      </c>
      <c r="K202" s="12">
        <v>0.0</v>
      </c>
      <c r="L202" s="12">
        <v>0.0</v>
      </c>
    </row>
    <row r="203">
      <c r="A203" s="10">
        <v>28.0</v>
      </c>
      <c r="B203" s="17" t="s">
        <v>46</v>
      </c>
      <c r="C203" s="12">
        <f t="shared" si="11"/>
        <v>0</v>
      </c>
      <c r="D203" s="13"/>
      <c r="E203" s="12">
        <v>0.0</v>
      </c>
      <c r="F203" s="12">
        <v>0.0</v>
      </c>
      <c r="G203" s="12">
        <v>0.0</v>
      </c>
      <c r="H203" s="12">
        <v>0.0</v>
      </c>
      <c r="I203" s="12">
        <v>0.0</v>
      </c>
      <c r="J203" s="12">
        <v>0.0</v>
      </c>
      <c r="K203" s="12">
        <v>0.0</v>
      </c>
      <c r="L203" s="12">
        <v>0.0</v>
      </c>
    </row>
    <row r="204">
      <c r="A204" s="10">
        <v>29.0</v>
      </c>
      <c r="B204" s="11" t="s">
        <v>15</v>
      </c>
      <c r="C204" s="12">
        <f t="shared" si="11"/>
        <v>0</v>
      </c>
      <c r="D204" s="13"/>
      <c r="E204" s="12">
        <v>0.0</v>
      </c>
      <c r="F204" s="12">
        <v>0.0</v>
      </c>
      <c r="G204" s="12">
        <v>0.0</v>
      </c>
      <c r="H204" s="12">
        <v>0.0</v>
      </c>
      <c r="I204" s="12">
        <v>0.0</v>
      </c>
      <c r="J204" s="12">
        <v>0.0</v>
      </c>
      <c r="K204" s="12">
        <v>0.0</v>
      </c>
      <c r="L204" s="12">
        <v>0.0</v>
      </c>
    </row>
    <row r="205">
      <c r="A205" s="10">
        <v>30.0</v>
      </c>
      <c r="B205" s="11" t="s">
        <v>47</v>
      </c>
      <c r="C205" s="12">
        <f t="shared" si="11"/>
        <v>0</v>
      </c>
      <c r="D205" s="18"/>
      <c r="E205" s="12">
        <v>0.0</v>
      </c>
      <c r="F205" s="12">
        <v>0.0</v>
      </c>
      <c r="G205" s="12">
        <v>0.0</v>
      </c>
      <c r="H205" s="12">
        <v>0.0</v>
      </c>
      <c r="I205" s="12">
        <v>0.0</v>
      </c>
      <c r="J205" s="12">
        <v>0.0</v>
      </c>
      <c r="K205" s="12">
        <v>0.0</v>
      </c>
      <c r="L205" s="12">
        <v>0.0</v>
      </c>
    </row>
    <row r="206">
      <c r="A206" s="30" t="s">
        <v>72</v>
      </c>
      <c r="B206" s="3"/>
      <c r="C206" s="20">
        <f>SUM(C176:C205)</f>
        <v>22</v>
      </c>
      <c r="D206" s="21"/>
      <c r="E206" s="20">
        <f t="shared" ref="E206:L206" si="12">SUM(E176:E205)</f>
        <v>0</v>
      </c>
      <c r="F206" s="20">
        <f t="shared" si="12"/>
        <v>3</v>
      </c>
      <c r="G206" s="20">
        <f t="shared" si="12"/>
        <v>19</v>
      </c>
      <c r="H206" s="44">
        <f t="shared" si="12"/>
        <v>0</v>
      </c>
      <c r="I206" s="20">
        <f t="shared" si="12"/>
        <v>0</v>
      </c>
      <c r="J206" s="20">
        <f t="shared" si="12"/>
        <v>0</v>
      </c>
      <c r="K206" s="20">
        <f t="shared" si="12"/>
        <v>0</v>
      </c>
      <c r="L206" s="20">
        <f t="shared" si="12"/>
        <v>0</v>
      </c>
    </row>
    <row r="207">
      <c r="A207" s="45" t="s">
        <v>73</v>
      </c>
      <c r="B207" s="2"/>
      <c r="C207" s="3"/>
      <c r="D207" s="21"/>
      <c r="E207" s="20">
        <f>C172+C206</f>
        <v>128</v>
      </c>
      <c r="F207" s="46"/>
      <c r="G207" s="2"/>
      <c r="H207" s="2"/>
      <c r="I207" s="2"/>
      <c r="J207" s="2"/>
      <c r="K207" s="2"/>
      <c r="L207" s="3"/>
    </row>
    <row r="208">
      <c r="A208" s="2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/>
    </row>
    <row r="209">
      <c r="A209" s="35" t="s">
        <v>74</v>
      </c>
      <c r="B209" s="2"/>
      <c r="C209" s="3"/>
      <c r="D209" s="47"/>
      <c r="E209" s="6" t="s">
        <v>75</v>
      </c>
      <c r="F209" s="2"/>
      <c r="G209" s="2"/>
      <c r="H209" s="2"/>
      <c r="I209" s="2"/>
      <c r="J209" s="2"/>
      <c r="K209" s="2"/>
      <c r="L209" s="3"/>
    </row>
    <row r="210">
      <c r="A210" s="22" t="s">
        <v>5</v>
      </c>
      <c r="B210" s="22" t="s">
        <v>76</v>
      </c>
      <c r="C210" s="22" t="s">
        <v>7</v>
      </c>
      <c r="D210" s="48"/>
      <c r="E210" s="9" t="s">
        <v>8</v>
      </c>
      <c r="F210" s="9" t="s">
        <v>9</v>
      </c>
      <c r="G210" s="9" t="s">
        <v>10</v>
      </c>
      <c r="H210" s="9" t="s">
        <v>11</v>
      </c>
      <c r="I210" s="9" t="s">
        <v>12</v>
      </c>
      <c r="J210" s="9" t="s">
        <v>13</v>
      </c>
      <c r="K210" s="9" t="s">
        <v>14</v>
      </c>
      <c r="L210" s="9" t="s">
        <v>15</v>
      </c>
    </row>
    <row r="211">
      <c r="A211" s="49">
        <v>1.0</v>
      </c>
      <c r="B211" s="49" t="s">
        <v>29</v>
      </c>
      <c r="C211" s="50">
        <f t="shared" ref="C211:C213" si="13">E211+F211+G211+H211+I211+J211+K211+L211</f>
        <v>1</v>
      </c>
      <c r="D211" s="13"/>
      <c r="E211" s="49">
        <v>0.0</v>
      </c>
      <c r="F211" s="49">
        <v>1.0</v>
      </c>
      <c r="G211" s="49">
        <v>0.0</v>
      </c>
      <c r="H211" s="49">
        <v>0.0</v>
      </c>
      <c r="I211" s="49">
        <v>0.0</v>
      </c>
      <c r="J211" s="49">
        <v>0.0</v>
      </c>
      <c r="K211" s="49">
        <v>0.0</v>
      </c>
      <c r="L211" s="49">
        <v>0.0</v>
      </c>
    </row>
    <row r="212">
      <c r="A212" s="49">
        <v>2.0</v>
      </c>
      <c r="B212" s="49" t="s">
        <v>34</v>
      </c>
      <c r="C212" s="50">
        <f t="shared" si="13"/>
        <v>1</v>
      </c>
      <c r="D212" s="13"/>
      <c r="E212" s="49">
        <v>0.0</v>
      </c>
      <c r="F212" s="49">
        <v>1.0</v>
      </c>
      <c r="G212" s="49">
        <v>0.0</v>
      </c>
      <c r="H212" s="49">
        <v>0.0</v>
      </c>
      <c r="I212" s="49">
        <v>0.0</v>
      </c>
      <c r="J212" s="49">
        <v>0.0</v>
      </c>
      <c r="K212" s="49">
        <v>0.0</v>
      </c>
      <c r="L212" s="49">
        <v>0.0</v>
      </c>
    </row>
    <row r="213">
      <c r="A213" s="49">
        <v>3.0</v>
      </c>
      <c r="B213" s="49" t="s">
        <v>14</v>
      </c>
      <c r="C213" s="50">
        <f t="shared" si="13"/>
        <v>0</v>
      </c>
      <c r="D213" s="13"/>
      <c r="E213" s="49">
        <v>0.0</v>
      </c>
      <c r="F213" s="49">
        <v>0.0</v>
      </c>
      <c r="G213" s="49">
        <v>0.0</v>
      </c>
      <c r="H213" s="49">
        <v>0.0</v>
      </c>
      <c r="I213" s="49">
        <v>0.0</v>
      </c>
      <c r="J213" s="49">
        <v>0.0</v>
      </c>
      <c r="K213" s="49">
        <v>0.0</v>
      </c>
      <c r="L213" s="49">
        <v>0.0</v>
      </c>
    </row>
    <row r="214">
      <c r="A214" s="35" t="s">
        <v>77</v>
      </c>
      <c r="B214" s="3"/>
      <c r="C214" s="20">
        <f>SUM(C211:C213)</f>
        <v>2</v>
      </c>
      <c r="D214" s="21"/>
      <c r="E214" s="20">
        <f t="shared" ref="E214:L214" si="14">SUM(E211:E213)</f>
        <v>0</v>
      </c>
      <c r="F214" s="20">
        <f t="shared" si="14"/>
        <v>2</v>
      </c>
      <c r="G214" s="20">
        <f t="shared" si="14"/>
        <v>0</v>
      </c>
      <c r="H214" s="20">
        <f t="shared" si="14"/>
        <v>0</v>
      </c>
      <c r="I214" s="20">
        <f t="shared" si="14"/>
        <v>0</v>
      </c>
      <c r="J214" s="20">
        <f t="shared" si="14"/>
        <v>0</v>
      </c>
      <c r="K214" s="20">
        <f t="shared" si="14"/>
        <v>0</v>
      </c>
      <c r="L214" s="20">
        <f t="shared" si="14"/>
        <v>0</v>
      </c>
    </row>
    <row r="215">
      <c r="A215" s="2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3"/>
    </row>
    <row r="216">
      <c r="A216" s="39" t="s">
        <v>78</v>
      </c>
      <c r="B216" s="2"/>
      <c r="C216" s="3"/>
      <c r="D216" s="51"/>
      <c r="E216" s="26" t="s">
        <v>79</v>
      </c>
      <c r="F216" s="2"/>
      <c r="G216" s="2"/>
      <c r="H216" s="2"/>
      <c r="I216" s="2"/>
      <c r="J216" s="2"/>
      <c r="K216" s="2"/>
      <c r="L216" s="3"/>
    </row>
    <row r="217">
      <c r="A217" s="22" t="s">
        <v>5</v>
      </c>
      <c r="B217" s="22" t="s">
        <v>76</v>
      </c>
      <c r="C217" s="22" t="s">
        <v>7</v>
      </c>
      <c r="D217" s="48"/>
      <c r="E217" s="9" t="s">
        <v>8</v>
      </c>
      <c r="F217" s="9" t="s">
        <v>9</v>
      </c>
      <c r="G217" s="9" t="s">
        <v>10</v>
      </c>
      <c r="H217" s="9" t="s">
        <v>11</v>
      </c>
      <c r="I217" s="9" t="s">
        <v>12</v>
      </c>
      <c r="J217" s="9" t="s">
        <v>13</v>
      </c>
      <c r="K217" s="9" t="s">
        <v>14</v>
      </c>
      <c r="L217" s="9" t="s">
        <v>15</v>
      </c>
    </row>
    <row r="218">
      <c r="A218" s="49">
        <v>1.0</v>
      </c>
      <c r="B218" s="49" t="s">
        <v>29</v>
      </c>
      <c r="C218" s="50">
        <f t="shared" ref="C218:C220" si="15">E218+F218+G218+H218+I218+J218+K218+L218</f>
        <v>0</v>
      </c>
      <c r="D218" s="13"/>
      <c r="E218" s="49">
        <v>0.0</v>
      </c>
      <c r="F218" s="49">
        <v>0.0</v>
      </c>
      <c r="G218" s="49">
        <v>0.0</v>
      </c>
      <c r="H218" s="49">
        <v>0.0</v>
      </c>
      <c r="I218" s="49">
        <v>0.0</v>
      </c>
      <c r="J218" s="49">
        <v>0.0</v>
      </c>
      <c r="K218" s="49">
        <v>0.0</v>
      </c>
      <c r="L218" s="49">
        <v>0.0</v>
      </c>
    </row>
    <row r="219">
      <c r="A219" s="49">
        <v>2.0</v>
      </c>
      <c r="B219" s="49" t="s">
        <v>34</v>
      </c>
      <c r="C219" s="50">
        <f t="shared" si="15"/>
        <v>5</v>
      </c>
      <c r="D219" s="13"/>
      <c r="E219" s="49">
        <v>0.0</v>
      </c>
      <c r="F219" s="49">
        <v>5.0</v>
      </c>
      <c r="G219" s="49">
        <v>0.0</v>
      </c>
      <c r="H219" s="49">
        <v>0.0</v>
      </c>
      <c r="I219" s="49">
        <v>0.0</v>
      </c>
      <c r="J219" s="49">
        <v>0.0</v>
      </c>
      <c r="K219" s="49">
        <v>0.0</v>
      </c>
      <c r="L219" s="49">
        <v>0.0</v>
      </c>
    </row>
    <row r="220">
      <c r="A220" s="49">
        <v>3.0</v>
      </c>
      <c r="B220" s="49" t="s">
        <v>14</v>
      </c>
      <c r="C220" s="50">
        <f t="shared" si="15"/>
        <v>0</v>
      </c>
      <c r="D220" s="13"/>
      <c r="E220" s="49">
        <v>0.0</v>
      </c>
      <c r="F220" s="49">
        <v>0.0</v>
      </c>
      <c r="G220" s="49">
        <v>0.0</v>
      </c>
      <c r="H220" s="49">
        <v>0.0</v>
      </c>
      <c r="I220" s="49">
        <v>0.0</v>
      </c>
      <c r="J220" s="49">
        <v>0.0</v>
      </c>
      <c r="K220" s="49">
        <v>0.0</v>
      </c>
      <c r="L220" s="49">
        <v>0.0</v>
      </c>
    </row>
    <row r="221">
      <c r="A221" s="30" t="s">
        <v>80</v>
      </c>
      <c r="B221" s="3"/>
      <c r="C221" s="20">
        <f>SUM(C218:C220)</f>
        <v>5</v>
      </c>
      <c r="D221" s="21"/>
      <c r="E221" s="20">
        <f>SUM(E218:E220)</f>
        <v>0</v>
      </c>
      <c r="F221" s="22">
        <v>0.0</v>
      </c>
      <c r="G221" s="20">
        <f t="shared" ref="G221:L221" si="16">SUM(G218:G220)</f>
        <v>0</v>
      </c>
      <c r="H221" s="20">
        <f t="shared" si="16"/>
        <v>0</v>
      </c>
      <c r="I221" s="20">
        <f t="shared" si="16"/>
        <v>0</v>
      </c>
      <c r="J221" s="20">
        <f t="shared" si="16"/>
        <v>0</v>
      </c>
      <c r="K221" s="20">
        <f t="shared" si="16"/>
        <v>0</v>
      </c>
      <c r="L221" s="20">
        <f t="shared" si="16"/>
        <v>0</v>
      </c>
    </row>
    <row r="222">
      <c r="A222" s="45" t="s">
        <v>81</v>
      </c>
      <c r="B222" s="2"/>
      <c r="C222" s="3"/>
      <c r="D222" s="21"/>
      <c r="E222" s="20">
        <f>C214+C221</f>
        <v>7</v>
      </c>
      <c r="F222" s="46"/>
      <c r="G222" s="2"/>
      <c r="H222" s="2"/>
      <c r="I222" s="2"/>
      <c r="J222" s="2"/>
      <c r="K222" s="2"/>
      <c r="L222" s="3"/>
    </row>
    <row r="223">
      <c r="A223" s="2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3"/>
    </row>
    <row r="224">
      <c r="A224" s="35" t="s">
        <v>82</v>
      </c>
      <c r="B224" s="2"/>
      <c r="C224" s="3"/>
      <c r="D224" s="47"/>
      <c r="E224" s="6" t="s">
        <v>83</v>
      </c>
      <c r="F224" s="2"/>
      <c r="G224" s="2"/>
      <c r="H224" s="2"/>
      <c r="I224" s="2"/>
      <c r="J224" s="2"/>
      <c r="K224" s="2"/>
      <c r="L224" s="3"/>
    </row>
    <row r="225" ht="18.0" customHeight="1">
      <c r="A225" s="22" t="s">
        <v>5</v>
      </c>
      <c r="B225" s="22" t="s">
        <v>84</v>
      </c>
      <c r="C225" s="22" t="s">
        <v>7</v>
      </c>
      <c r="D225" s="48"/>
      <c r="E225" s="9" t="s">
        <v>8</v>
      </c>
      <c r="F225" s="9" t="s">
        <v>9</v>
      </c>
      <c r="G225" s="9" t="s">
        <v>10</v>
      </c>
      <c r="H225" s="9" t="s">
        <v>11</v>
      </c>
      <c r="I225" s="9" t="s">
        <v>12</v>
      </c>
      <c r="J225" s="9" t="s">
        <v>13</v>
      </c>
      <c r="K225" s="9" t="s">
        <v>14</v>
      </c>
      <c r="L225" s="9" t="s">
        <v>15</v>
      </c>
    </row>
    <row r="226">
      <c r="A226" s="49">
        <v>1.0</v>
      </c>
      <c r="B226" s="49" t="s">
        <v>14</v>
      </c>
      <c r="C226" s="50">
        <f t="shared" ref="C226:C228" si="17">E226+F226+G226+H226+I226+J226+K226+L226</f>
        <v>0</v>
      </c>
      <c r="D226" s="13"/>
      <c r="E226" s="49">
        <v>0.0</v>
      </c>
      <c r="F226" s="49">
        <v>0.0</v>
      </c>
      <c r="G226" s="49">
        <v>0.0</v>
      </c>
      <c r="H226" s="49">
        <v>0.0</v>
      </c>
      <c r="I226" s="49">
        <v>0.0</v>
      </c>
      <c r="J226" s="49">
        <v>0.0</v>
      </c>
      <c r="K226" s="49">
        <v>0.0</v>
      </c>
      <c r="L226" s="49">
        <v>0.0</v>
      </c>
    </row>
    <row r="227">
      <c r="A227" s="49">
        <v>2.0</v>
      </c>
      <c r="B227" s="49" t="s">
        <v>15</v>
      </c>
      <c r="C227" s="50">
        <f t="shared" si="17"/>
        <v>0</v>
      </c>
      <c r="D227" s="13"/>
      <c r="E227" s="49">
        <v>0.0</v>
      </c>
      <c r="F227" s="49">
        <v>0.0</v>
      </c>
      <c r="G227" s="49">
        <v>0.0</v>
      </c>
      <c r="H227" s="49">
        <v>0.0</v>
      </c>
      <c r="I227" s="49">
        <v>0.0</v>
      </c>
      <c r="J227" s="49">
        <v>0.0</v>
      </c>
      <c r="K227" s="49">
        <v>0.0</v>
      </c>
      <c r="L227" s="49">
        <v>0.0</v>
      </c>
    </row>
    <row r="228">
      <c r="A228" s="49">
        <v>3.0</v>
      </c>
      <c r="B228" s="49" t="s">
        <v>47</v>
      </c>
      <c r="C228" s="50">
        <f t="shared" si="17"/>
        <v>0</v>
      </c>
      <c r="D228" s="13"/>
      <c r="E228" s="49">
        <v>0.0</v>
      </c>
      <c r="F228" s="49">
        <v>0.0</v>
      </c>
      <c r="G228" s="49">
        <v>0.0</v>
      </c>
      <c r="H228" s="49">
        <v>0.0</v>
      </c>
      <c r="I228" s="49">
        <v>0.0</v>
      </c>
      <c r="J228" s="49">
        <v>0.0</v>
      </c>
      <c r="K228" s="49">
        <v>0.0</v>
      </c>
      <c r="L228" s="49">
        <v>0.0</v>
      </c>
    </row>
    <row r="229">
      <c r="A229" s="19" t="s">
        <v>85</v>
      </c>
      <c r="B229" s="3"/>
      <c r="C229" s="20">
        <f>SUM(C226:C228)</f>
        <v>0</v>
      </c>
      <c r="D229" s="21"/>
      <c r="E229" s="20">
        <f t="shared" ref="E229:L229" si="18">SUM(E226:E228)</f>
        <v>0</v>
      </c>
      <c r="F229" s="20">
        <f t="shared" si="18"/>
        <v>0</v>
      </c>
      <c r="G229" s="20">
        <f t="shared" si="18"/>
        <v>0</v>
      </c>
      <c r="H229" s="20">
        <f t="shared" si="18"/>
        <v>0</v>
      </c>
      <c r="I229" s="20">
        <f t="shared" si="18"/>
        <v>0</v>
      </c>
      <c r="J229" s="20">
        <f t="shared" si="18"/>
        <v>0</v>
      </c>
      <c r="K229" s="20">
        <f t="shared" si="18"/>
        <v>0</v>
      </c>
      <c r="L229" s="20">
        <f t="shared" si="18"/>
        <v>0</v>
      </c>
    </row>
    <row r="230">
      <c r="A230" s="2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3"/>
    </row>
    <row r="231">
      <c r="A231" s="39" t="s">
        <v>86</v>
      </c>
      <c r="B231" s="2"/>
      <c r="C231" s="3"/>
      <c r="D231" s="51"/>
      <c r="E231" s="26" t="s">
        <v>87</v>
      </c>
      <c r="F231" s="2"/>
      <c r="G231" s="2"/>
      <c r="H231" s="2"/>
      <c r="I231" s="2"/>
      <c r="J231" s="2"/>
      <c r="K231" s="2"/>
      <c r="L231" s="3"/>
    </row>
    <row r="232">
      <c r="A232" s="22" t="s">
        <v>5</v>
      </c>
      <c r="B232" s="22" t="s">
        <v>76</v>
      </c>
      <c r="C232" s="22" t="s">
        <v>7</v>
      </c>
      <c r="D232" s="48"/>
      <c r="E232" s="9" t="s">
        <v>8</v>
      </c>
      <c r="F232" s="9" t="s">
        <v>9</v>
      </c>
      <c r="G232" s="9" t="s">
        <v>10</v>
      </c>
      <c r="H232" s="9" t="s">
        <v>11</v>
      </c>
      <c r="I232" s="9" t="s">
        <v>12</v>
      </c>
      <c r="J232" s="9" t="s">
        <v>13</v>
      </c>
      <c r="K232" s="9" t="s">
        <v>14</v>
      </c>
      <c r="L232" s="9" t="s">
        <v>15</v>
      </c>
    </row>
    <row r="233">
      <c r="A233" s="49">
        <v>1.0</v>
      </c>
      <c r="B233" s="49" t="s">
        <v>29</v>
      </c>
      <c r="C233" s="50">
        <f t="shared" ref="C233:C235" si="19">E233+F233+G233+H233+I233+J233+K233+L233</f>
        <v>0</v>
      </c>
      <c r="D233" s="13"/>
      <c r="E233" s="49">
        <v>0.0</v>
      </c>
      <c r="F233" s="49">
        <v>0.0</v>
      </c>
      <c r="G233" s="49">
        <v>0.0</v>
      </c>
      <c r="H233" s="49">
        <v>0.0</v>
      </c>
      <c r="I233" s="49">
        <v>0.0</v>
      </c>
      <c r="J233" s="49">
        <v>0.0</v>
      </c>
      <c r="K233" s="49">
        <v>0.0</v>
      </c>
      <c r="L233" s="49">
        <v>0.0</v>
      </c>
    </row>
    <row r="234">
      <c r="A234" s="49">
        <v>2.0</v>
      </c>
      <c r="B234" s="49" t="s">
        <v>34</v>
      </c>
      <c r="C234" s="50">
        <f t="shared" si="19"/>
        <v>0</v>
      </c>
      <c r="D234" s="13"/>
      <c r="E234" s="49">
        <v>0.0</v>
      </c>
      <c r="F234" s="49">
        <v>0.0</v>
      </c>
      <c r="G234" s="49">
        <v>0.0</v>
      </c>
      <c r="H234" s="49">
        <v>0.0</v>
      </c>
      <c r="I234" s="49">
        <v>0.0</v>
      </c>
      <c r="J234" s="49">
        <v>0.0</v>
      </c>
      <c r="K234" s="49">
        <v>0.0</v>
      </c>
      <c r="L234" s="49">
        <v>0.0</v>
      </c>
    </row>
    <row r="235">
      <c r="A235" s="49">
        <v>3.0</v>
      </c>
      <c r="B235" s="49" t="s">
        <v>14</v>
      </c>
      <c r="C235" s="50">
        <f t="shared" si="19"/>
        <v>0</v>
      </c>
      <c r="D235" s="13"/>
      <c r="E235" s="49">
        <v>0.0</v>
      </c>
      <c r="F235" s="49">
        <v>0.0</v>
      </c>
      <c r="G235" s="49">
        <v>0.0</v>
      </c>
      <c r="H235" s="49">
        <v>0.0</v>
      </c>
      <c r="I235" s="49">
        <v>0.0</v>
      </c>
      <c r="J235" s="49">
        <v>0.0</v>
      </c>
      <c r="K235" s="49">
        <v>0.0</v>
      </c>
      <c r="L235" s="49">
        <v>0.0</v>
      </c>
    </row>
    <row r="236">
      <c r="A236" s="30" t="s">
        <v>88</v>
      </c>
      <c r="B236" s="3"/>
      <c r="C236" s="20">
        <f>SUM(C233:C235)</f>
        <v>0</v>
      </c>
      <c r="D236" s="21"/>
      <c r="E236" s="20">
        <f t="shared" ref="E236:L236" si="20">SUM(E233:E235)</f>
        <v>0</v>
      </c>
      <c r="F236" s="20">
        <f t="shared" si="20"/>
        <v>0</v>
      </c>
      <c r="G236" s="20">
        <f t="shared" si="20"/>
        <v>0</v>
      </c>
      <c r="H236" s="20">
        <f t="shared" si="20"/>
        <v>0</v>
      </c>
      <c r="I236" s="20">
        <f t="shared" si="20"/>
        <v>0</v>
      </c>
      <c r="J236" s="20">
        <f t="shared" si="20"/>
        <v>0</v>
      </c>
      <c r="K236" s="20">
        <f t="shared" si="20"/>
        <v>0</v>
      </c>
      <c r="L236" s="20">
        <f t="shared" si="20"/>
        <v>0</v>
      </c>
    </row>
    <row r="237">
      <c r="A237" s="45" t="s">
        <v>89</v>
      </c>
      <c r="B237" s="2"/>
      <c r="C237" s="3"/>
      <c r="D237" s="21"/>
      <c r="E237" s="20">
        <f>C229+C236</f>
        <v>0</v>
      </c>
      <c r="F237" s="46"/>
      <c r="G237" s="2"/>
      <c r="H237" s="2"/>
      <c r="I237" s="2"/>
      <c r="J237" s="2"/>
      <c r="K237" s="2"/>
      <c r="L237" s="3"/>
    </row>
    <row r="239">
      <c r="A239" s="35" t="s">
        <v>90</v>
      </c>
      <c r="B239" s="2"/>
      <c r="C239" s="3"/>
      <c r="D239" s="47"/>
      <c r="E239" s="6" t="s">
        <v>91</v>
      </c>
      <c r="F239" s="2"/>
      <c r="G239" s="2"/>
      <c r="H239" s="2"/>
      <c r="I239" s="2"/>
      <c r="J239" s="2"/>
      <c r="K239" s="2"/>
      <c r="L239" s="3"/>
    </row>
    <row r="240" ht="21.0" customHeight="1">
      <c r="A240" s="22" t="s">
        <v>5</v>
      </c>
      <c r="B240" s="22" t="s">
        <v>92</v>
      </c>
      <c r="C240" s="22" t="s">
        <v>7</v>
      </c>
      <c r="D240" s="48"/>
      <c r="E240" s="9" t="s">
        <v>8</v>
      </c>
      <c r="F240" s="9" t="s">
        <v>9</v>
      </c>
      <c r="G240" s="9" t="s">
        <v>10</v>
      </c>
      <c r="H240" s="9" t="s">
        <v>11</v>
      </c>
      <c r="I240" s="9" t="s">
        <v>12</v>
      </c>
      <c r="J240" s="9" t="s">
        <v>13</v>
      </c>
      <c r="K240" s="9" t="s">
        <v>14</v>
      </c>
      <c r="L240" s="9" t="s">
        <v>15</v>
      </c>
    </row>
    <row r="241">
      <c r="A241" s="49">
        <v>1.0</v>
      </c>
      <c r="B241" s="49" t="s">
        <v>20</v>
      </c>
      <c r="C241" s="50">
        <f t="shared" ref="C241:C243" si="21">E241+F241+G241+H241+I241+J241+K241+L241</f>
        <v>15</v>
      </c>
      <c r="D241" s="13"/>
      <c r="E241" s="49">
        <v>15.0</v>
      </c>
      <c r="F241" s="49">
        <v>0.0</v>
      </c>
      <c r="G241" s="49">
        <v>0.0</v>
      </c>
      <c r="H241" s="49">
        <v>0.0</v>
      </c>
      <c r="I241" s="49">
        <v>0.0</v>
      </c>
      <c r="J241" s="49">
        <v>0.0</v>
      </c>
      <c r="K241" s="49">
        <v>0.0</v>
      </c>
      <c r="L241" s="49">
        <v>0.0</v>
      </c>
    </row>
    <row r="242">
      <c r="A242" s="49">
        <v>2.0</v>
      </c>
      <c r="B242" s="49" t="s">
        <v>14</v>
      </c>
      <c r="C242" s="50">
        <f t="shared" si="21"/>
        <v>0</v>
      </c>
      <c r="D242" s="13"/>
      <c r="E242" s="49">
        <v>0.0</v>
      </c>
      <c r="F242" s="49">
        <v>0.0</v>
      </c>
      <c r="G242" s="49">
        <v>0.0</v>
      </c>
      <c r="H242" s="49">
        <v>0.0</v>
      </c>
      <c r="I242" s="49">
        <v>0.0</v>
      </c>
      <c r="J242" s="49">
        <v>0.0</v>
      </c>
      <c r="K242" s="49">
        <v>0.0</v>
      </c>
      <c r="L242" s="49">
        <v>0.0</v>
      </c>
    </row>
    <row r="243">
      <c r="A243" s="49">
        <v>3.0</v>
      </c>
      <c r="B243" s="49" t="s">
        <v>15</v>
      </c>
      <c r="C243" s="50">
        <f t="shared" si="21"/>
        <v>0</v>
      </c>
      <c r="D243" s="13"/>
      <c r="E243" s="49">
        <v>0.0</v>
      </c>
      <c r="F243" s="49">
        <v>0.0</v>
      </c>
      <c r="G243" s="49">
        <v>0.0</v>
      </c>
      <c r="H243" s="49">
        <v>0.0</v>
      </c>
      <c r="I243" s="49">
        <v>0.0</v>
      </c>
      <c r="J243" s="49">
        <v>0.0</v>
      </c>
      <c r="K243" s="49">
        <v>0.0</v>
      </c>
      <c r="L243" s="49">
        <v>0.0</v>
      </c>
    </row>
    <row r="244">
      <c r="A244" s="19" t="s">
        <v>93</v>
      </c>
      <c r="B244" s="3"/>
      <c r="C244" s="20">
        <f>SUM(C241:C243)</f>
        <v>15</v>
      </c>
      <c r="D244" s="21"/>
      <c r="E244" s="20">
        <f t="shared" ref="E244:L244" si="22">SUM(E241:E243)</f>
        <v>15</v>
      </c>
      <c r="F244" s="20">
        <f t="shared" si="22"/>
        <v>0</v>
      </c>
      <c r="G244" s="20">
        <f t="shared" si="22"/>
        <v>0</v>
      </c>
      <c r="H244" s="20">
        <f t="shared" si="22"/>
        <v>0</v>
      </c>
      <c r="I244" s="20">
        <f t="shared" si="22"/>
        <v>0</v>
      </c>
      <c r="J244" s="20">
        <f t="shared" si="22"/>
        <v>0</v>
      </c>
      <c r="K244" s="20">
        <f t="shared" si="22"/>
        <v>0</v>
      </c>
      <c r="L244" s="20">
        <f t="shared" si="22"/>
        <v>0</v>
      </c>
    </row>
    <row r="245">
      <c r="A245" s="2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3"/>
    </row>
    <row r="246">
      <c r="A246" s="39" t="s">
        <v>94</v>
      </c>
      <c r="B246" s="2"/>
      <c r="C246" s="3"/>
      <c r="D246" s="51"/>
      <c r="E246" s="26" t="s">
        <v>95</v>
      </c>
      <c r="F246" s="2"/>
      <c r="G246" s="2"/>
      <c r="H246" s="2"/>
      <c r="I246" s="2"/>
      <c r="J246" s="2"/>
      <c r="K246" s="2"/>
      <c r="L246" s="3"/>
    </row>
    <row r="247" ht="20.25" customHeight="1">
      <c r="A247" s="52" t="s">
        <v>5</v>
      </c>
      <c r="B247" s="22" t="s">
        <v>92</v>
      </c>
      <c r="C247" s="22" t="s">
        <v>7</v>
      </c>
      <c r="D247" s="48"/>
      <c r="E247" s="9" t="s">
        <v>8</v>
      </c>
      <c r="F247" s="9" t="s">
        <v>9</v>
      </c>
      <c r="G247" s="9" t="s">
        <v>10</v>
      </c>
      <c r="H247" s="9" t="s">
        <v>11</v>
      </c>
      <c r="I247" s="9" t="s">
        <v>12</v>
      </c>
      <c r="J247" s="9" t="s">
        <v>13</v>
      </c>
      <c r="K247" s="9" t="s">
        <v>14</v>
      </c>
      <c r="L247" s="9" t="s">
        <v>15</v>
      </c>
    </row>
    <row r="248">
      <c r="A248" s="49">
        <v>1.0</v>
      </c>
      <c r="B248" s="49" t="s">
        <v>20</v>
      </c>
      <c r="C248" s="50">
        <f t="shared" ref="C248:C250" si="23">E248+F248+G248+H248+I248+J248+K248+L248</f>
        <v>0</v>
      </c>
      <c r="D248" s="13"/>
      <c r="E248" s="49">
        <v>0.0</v>
      </c>
      <c r="F248" s="49">
        <v>0.0</v>
      </c>
      <c r="G248" s="49">
        <v>0.0</v>
      </c>
      <c r="H248" s="49">
        <v>0.0</v>
      </c>
      <c r="I248" s="49">
        <v>0.0</v>
      </c>
      <c r="J248" s="49">
        <v>0.0</v>
      </c>
      <c r="K248" s="49">
        <v>0.0</v>
      </c>
      <c r="L248" s="49">
        <v>0.0</v>
      </c>
    </row>
    <row r="249">
      <c r="A249" s="49">
        <v>2.0</v>
      </c>
      <c r="B249" s="49" t="s">
        <v>14</v>
      </c>
      <c r="C249" s="50">
        <f t="shared" si="23"/>
        <v>0</v>
      </c>
      <c r="D249" s="13"/>
      <c r="E249" s="49">
        <v>0.0</v>
      </c>
      <c r="F249" s="49">
        <v>0.0</v>
      </c>
      <c r="G249" s="49">
        <v>0.0</v>
      </c>
      <c r="H249" s="49">
        <v>0.0</v>
      </c>
      <c r="I249" s="49">
        <v>0.0</v>
      </c>
      <c r="J249" s="49">
        <v>0.0</v>
      </c>
      <c r="K249" s="49">
        <v>0.0</v>
      </c>
      <c r="L249" s="49">
        <v>0.0</v>
      </c>
    </row>
    <row r="250">
      <c r="A250" s="49">
        <v>3.0</v>
      </c>
      <c r="B250" s="49" t="s">
        <v>15</v>
      </c>
      <c r="C250" s="50">
        <f t="shared" si="23"/>
        <v>0</v>
      </c>
      <c r="D250" s="13"/>
      <c r="E250" s="49">
        <v>0.0</v>
      </c>
      <c r="F250" s="49">
        <v>0.0</v>
      </c>
      <c r="G250" s="49">
        <v>0.0</v>
      </c>
      <c r="H250" s="49">
        <v>0.0</v>
      </c>
      <c r="I250" s="49">
        <v>0.0</v>
      </c>
      <c r="J250" s="49">
        <v>0.0</v>
      </c>
      <c r="K250" s="49">
        <v>0.0</v>
      </c>
      <c r="L250" s="49">
        <v>0.0</v>
      </c>
    </row>
    <row r="251">
      <c r="A251" s="30" t="s">
        <v>96</v>
      </c>
      <c r="B251" s="3"/>
      <c r="C251" s="20">
        <f>SUM(C248:C250)</f>
        <v>0</v>
      </c>
      <c r="D251" s="21"/>
      <c r="E251" s="20">
        <f t="shared" ref="E251:L251" si="24">SUM(E248:E250)</f>
        <v>0</v>
      </c>
      <c r="F251" s="20">
        <f t="shared" si="24"/>
        <v>0</v>
      </c>
      <c r="G251" s="20">
        <f t="shared" si="24"/>
        <v>0</v>
      </c>
      <c r="H251" s="20">
        <f t="shared" si="24"/>
        <v>0</v>
      </c>
      <c r="I251" s="20">
        <f t="shared" si="24"/>
        <v>0</v>
      </c>
      <c r="J251" s="20">
        <f t="shared" si="24"/>
        <v>0</v>
      </c>
      <c r="K251" s="20">
        <f t="shared" si="24"/>
        <v>0</v>
      </c>
      <c r="L251" s="20">
        <f t="shared" si="24"/>
        <v>0</v>
      </c>
    </row>
    <row r="252">
      <c r="A252" s="45" t="s">
        <v>97</v>
      </c>
      <c r="B252" s="2"/>
      <c r="C252" s="3"/>
      <c r="D252" s="21"/>
      <c r="E252" s="20">
        <f>C244+C251</f>
        <v>15</v>
      </c>
      <c r="F252" s="46"/>
      <c r="G252" s="2"/>
      <c r="H252" s="2"/>
      <c r="I252" s="2"/>
      <c r="J252" s="2"/>
      <c r="K252" s="2"/>
      <c r="L252" s="3"/>
    </row>
    <row r="253">
      <c r="A253" s="2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3"/>
    </row>
    <row r="254">
      <c r="A254" s="35" t="s">
        <v>98</v>
      </c>
      <c r="B254" s="2"/>
      <c r="C254" s="3"/>
      <c r="D254" s="47"/>
      <c r="E254" s="6" t="s">
        <v>99</v>
      </c>
      <c r="F254" s="2"/>
      <c r="G254" s="2"/>
      <c r="H254" s="2"/>
      <c r="I254" s="2"/>
      <c r="J254" s="2"/>
      <c r="K254" s="2"/>
      <c r="L254" s="3"/>
    </row>
    <row r="255" ht="20.25" customHeight="1">
      <c r="A255" s="52" t="s">
        <v>5</v>
      </c>
      <c r="B255" s="52" t="s">
        <v>100</v>
      </c>
      <c r="C255" s="52" t="s">
        <v>7</v>
      </c>
      <c r="D255" s="53"/>
      <c r="E255" s="54" t="s">
        <v>8</v>
      </c>
      <c r="F255" s="54" t="s">
        <v>9</v>
      </c>
      <c r="G255" s="54" t="s">
        <v>10</v>
      </c>
      <c r="H255" s="54" t="s">
        <v>11</v>
      </c>
      <c r="I255" s="54" t="s">
        <v>12</v>
      </c>
      <c r="J255" s="54" t="s">
        <v>13</v>
      </c>
      <c r="K255" s="54" t="s">
        <v>14</v>
      </c>
      <c r="L255" s="54" t="s">
        <v>15</v>
      </c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</row>
    <row r="256">
      <c r="A256" s="49">
        <v>1.0</v>
      </c>
      <c r="B256" s="49" t="s">
        <v>18</v>
      </c>
      <c r="C256" s="50">
        <f t="shared" ref="C256:C258" si="25">E256+F256+G256+H256+I256+J256+K256+L256</f>
        <v>170</v>
      </c>
      <c r="D256" s="13"/>
      <c r="E256" s="49">
        <v>0.0</v>
      </c>
      <c r="F256" s="49">
        <v>170.0</v>
      </c>
      <c r="G256" s="49">
        <v>0.0</v>
      </c>
      <c r="H256" s="49">
        <v>0.0</v>
      </c>
      <c r="I256" s="49">
        <v>0.0</v>
      </c>
      <c r="J256" s="49">
        <v>0.0</v>
      </c>
      <c r="K256" s="49">
        <v>0.0</v>
      </c>
      <c r="L256" s="49">
        <v>0.0</v>
      </c>
    </row>
    <row r="257">
      <c r="A257" s="49">
        <v>2.0</v>
      </c>
      <c r="B257" s="49" t="s">
        <v>14</v>
      </c>
      <c r="C257" s="50">
        <f t="shared" si="25"/>
        <v>0</v>
      </c>
      <c r="D257" s="13"/>
      <c r="E257" s="49">
        <v>0.0</v>
      </c>
      <c r="F257" s="49">
        <v>0.0</v>
      </c>
      <c r="G257" s="49">
        <v>0.0</v>
      </c>
      <c r="H257" s="49">
        <v>0.0</v>
      </c>
      <c r="I257" s="49">
        <v>0.0</v>
      </c>
      <c r="J257" s="49">
        <v>0.0</v>
      </c>
      <c r="K257" s="49">
        <v>0.0</v>
      </c>
      <c r="L257" s="49">
        <v>0.0</v>
      </c>
    </row>
    <row r="258">
      <c r="A258" s="49">
        <v>3.0</v>
      </c>
      <c r="B258" s="49" t="s">
        <v>15</v>
      </c>
      <c r="C258" s="50">
        <f t="shared" si="25"/>
        <v>0</v>
      </c>
      <c r="D258" s="13"/>
      <c r="E258" s="49">
        <v>0.0</v>
      </c>
      <c r="F258" s="49">
        <v>0.0</v>
      </c>
      <c r="G258" s="49">
        <v>0.0</v>
      </c>
      <c r="H258" s="49">
        <v>0.0</v>
      </c>
      <c r="I258" s="49">
        <v>0.0</v>
      </c>
      <c r="J258" s="49">
        <v>0.0</v>
      </c>
      <c r="K258" s="49">
        <v>0.0</v>
      </c>
      <c r="L258" s="49">
        <v>0.0</v>
      </c>
    </row>
    <row r="259">
      <c r="A259" s="19" t="s">
        <v>101</v>
      </c>
      <c r="B259" s="3"/>
      <c r="C259" s="20">
        <f>SUM(C256:C258)</f>
        <v>170</v>
      </c>
      <c r="D259" s="21"/>
      <c r="E259" s="20">
        <f t="shared" ref="E259:L259" si="26">SUM(E256:E258)</f>
        <v>0</v>
      </c>
      <c r="F259" s="20">
        <f t="shared" si="26"/>
        <v>170</v>
      </c>
      <c r="G259" s="20">
        <f t="shared" si="26"/>
        <v>0</v>
      </c>
      <c r="H259" s="20">
        <f t="shared" si="26"/>
        <v>0</v>
      </c>
      <c r="I259" s="20">
        <f t="shared" si="26"/>
        <v>0</v>
      </c>
      <c r="J259" s="20">
        <f t="shared" si="26"/>
        <v>0</v>
      </c>
      <c r="K259" s="20">
        <f t="shared" si="26"/>
        <v>0</v>
      </c>
      <c r="L259" s="20">
        <f t="shared" si="26"/>
        <v>0</v>
      </c>
    </row>
    <row r="260">
      <c r="A260" s="2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3"/>
    </row>
    <row r="261">
      <c r="A261" s="39" t="s">
        <v>102</v>
      </c>
      <c r="B261" s="2"/>
      <c r="C261" s="3"/>
      <c r="D261" s="51"/>
      <c r="E261" s="26" t="s">
        <v>103</v>
      </c>
      <c r="F261" s="2"/>
      <c r="G261" s="2"/>
      <c r="H261" s="2"/>
      <c r="I261" s="2"/>
      <c r="J261" s="2"/>
      <c r="K261" s="2"/>
      <c r="L261" s="3"/>
    </row>
    <row r="262">
      <c r="A262" s="52" t="s">
        <v>5</v>
      </c>
      <c r="B262" s="22" t="s">
        <v>104</v>
      </c>
      <c r="C262" s="22" t="s">
        <v>7</v>
      </c>
      <c r="D262" s="48"/>
      <c r="E262" s="9" t="s">
        <v>8</v>
      </c>
      <c r="F262" s="9" t="s">
        <v>9</v>
      </c>
      <c r="G262" s="9" t="s">
        <v>10</v>
      </c>
      <c r="H262" s="9" t="s">
        <v>11</v>
      </c>
      <c r="I262" s="9" t="s">
        <v>12</v>
      </c>
      <c r="J262" s="9" t="s">
        <v>13</v>
      </c>
      <c r="K262" s="9" t="s">
        <v>14</v>
      </c>
      <c r="L262" s="9" t="s">
        <v>15</v>
      </c>
    </row>
    <row r="263">
      <c r="A263" s="49">
        <v>1.0</v>
      </c>
      <c r="B263" s="49" t="s">
        <v>18</v>
      </c>
      <c r="C263" s="50">
        <f t="shared" ref="C263:C265" si="27">E263+F263+G263+H263+I263+J263+K263+L263</f>
        <v>0</v>
      </c>
      <c r="D263" s="13"/>
      <c r="E263" s="49">
        <v>0.0</v>
      </c>
      <c r="F263" s="49">
        <v>0.0</v>
      </c>
      <c r="G263" s="49">
        <v>0.0</v>
      </c>
      <c r="H263" s="49">
        <v>0.0</v>
      </c>
      <c r="I263" s="49">
        <v>0.0</v>
      </c>
      <c r="J263" s="49">
        <v>0.0</v>
      </c>
      <c r="K263" s="49">
        <v>0.0</v>
      </c>
      <c r="L263" s="49">
        <v>0.0</v>
      </c>
    </row>
    <row r="264">
      <c r="A264" s="49">
        <v>2.0</v>
      </c>
      <c r="B264" s="49" t="s">
        <v>14</v>
      </c>
      <c r="C264" s="50">
        <f t="shared" si="27"/>
        <v>0</v>
      </c>
      <c r="D264" s="13"/>
      <c r="E264" s="49">
        <v>0.0</v>
      </c>
      <c r="F264" s="49">
        <v>0.0</v>
      </c>
      <c r="G264" s="49">
        <v>0.0</v>
      </c>
      <c r="H264" s="49">
        <v>0.0</v>
      </c>
      <c r="I264" s="49">
        <v>0.0</v>
      </c>
      <c r="J264" s="49">
        <v>0.0</v>
      </c>
      <c r="K264" s="49">
        <v>0.0</v>
      </c>
      <c r="L264" s="49">
        <v>0.0</v>
      </c>
    </row>
    <row r="265">
      <c r="A265" s="49">
        <v>3.0</v>
      </c>
      <c r="B265" s="49" t="s">
        <v>15</v>
      </c>
      <c r="C265" s="50">
        <f t="shared" si="27"/>
        <v>0</v>
      </c>
      <c r="D265" s="13"/>
      <c r="E265" s="49">
        <v>0.0</v>
      </c>
      <c r="F265" s="49">
        <v>0.0</v>
      </c>
      <c r="G265" s="49">
        <v>0.0</v>
      </c>
      <c r="H265" s="49">
        <v>0.0</v>
      </c>
      <c r="I265" s="49">
        <v>0.0</v>
      </c>
      <c r="J265" s="49">
        <v>0.0</v>
      </c>
      <c r="K265" s="49">
        <v>0.0</v>
      </c>
      <c r="L265" s="49">
        <v>0.0</v>
      </c>
    </row>
    <row r="266">
      <c r="A266" s="30" t="s">
        <v>105</v>
      </c>
      <c r="B266" s="3"/>
      <c r="C266" s="20">
        <f>SUM(C263:C265)</f>
        <v>0</v>
      </c>
      <c r="D266" s="21"/>
      <c r="E266" s="20">
        <f t="shared" ref="E266:L266" si="28">SUM(E263:E265)</f>
        <v>0</v>
      </c>
      <c r="F266" s="20">
        <f t="shared" si="28"/>
        <v>0</v>
      </c>
      <c r="G266" s="20">
        <f t="shared" si="28"/>
        <v>0</v>
      </c>
      <c r="H266" s="20">
        <f t="shared" si="28"/>
        <v>0</v>
      </c>
      <c r="I266" s="20">
        <f t="shared" si="28"/>
        <v>0</v>
      </c>
      <c r="J266" s="20">
        <f t="shared" si="28"/>
        <v>0</v>
      </c>
      <c r="K266" s="20">
        <f t="shared" si="28"/>
        <v>0</v>
      </c>
      <c r="L266" s="20">
        <f t="shared" si="28"/>
        <v>0</v>
      </c>
    </row>
    <row r="267">
      <c r="A267" s="45" t="s">
        <v>97</v>
      </c>
      <c r="B267" s="2"/>
      <c r="C267" s="3"/>
      <c r="D267" s="21"/>
      <c r="E267" s="20">
        <f>C259+C266</f>
        <v>170</v>
      </c>
      <c r="F267" s="46"/>
      <c r="G267" s="2"/>
      <c r="H267" s="2"/>
      <c r="I267" s="2"/>
      <c r="J267" s="2"/>
      <c r="K267" s="2"/>
      <c r="L267" s="3"/>
    </row>
    <row r="268">
      <c r="A268" s="2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3"/>
    </row>
    <row r="269">
      <c r="A269" s="35" t="s">
        <v>106</v>
      </c>
      <c r="B269" s="2"/>
      <c r="C269" s="3"/>
      <c r="D269" s="47"/>
      <c r="E269" s="6" t="s">
        <v>107</v>
      </c>
      <c r="F269" s="2"/>
      <c r="G269" s="2"/>
      <c r="H269" s="2"/>
      <c r="I269" s="2"/>
      <c r="J269" s="2"/>
      <c r="K269" s="2"/>
      <c r="L269" s="3"/>
    </row>
    <row r="270" ht="17.25" customHeight="1">
      <c r="A270" s="22" t="s">
        <v>5</v>
      </c>
      <c r="B270" s="22" t="s">
        <v>108</v>
      </c>
      <c r="C270" s="22" t="s">
        <v>7</v>
      </c>
      <c r="D270" s="48"/>
      <c r="E270" s="9" t="s">
        <v>8</v>
      </c>
      <c r="F270" s="9" t="s">
        <v>9</v>
      </c>
      <c r="G270" s="9" t="s">
        <v>10</v>
      </c>
      <c r="H270" s="9" t="s">
        <v>11</v>
      </c>
      <c r="I270" s="9" t="s">
        <v>12</v>
      </c>
      <c r="J270" s="9" t="s">
        <v>13</v>
      </c>
      <c r="K270" s="9" t="s">
        <v>14</v>
      </c>
      <c r="L270" s="9" t="s">
        <v>15</v>
      </c>
    </row>
    <row r="271">
      <c r="A271" s="49">
        <v>1.0</v>
      </c>
      <c r="B271" s="49" t="s">
        <v>109</v>
      </c>
      <c r="C271" s="50">
        <f t="shared" ref="C271:C273" si="29">E271+F271+G271+H271+I271+J271+K271+L271</f>
        <v>2</v>
      </c>
      <c r="D271" s="13"/>
      <c r="E271" s="49">
        <v>0.0</v>
      </c>
      <c r="F271" s="49">
        <v>2.0</v>
      </c>
      <c r="G271" s="49">
        <v>0.0</v>
      </c>
      <c r="H271" s="49">
        <v>0.0</v>
      </c>
      <c r="I271" s="49">
        <v>0.0</v>
      </c>
      <c r="J271" s="49">
        <v>0.0</v>
      </c>
      <c r="K271" s="49">
        <v>0.0</v>
      </c>
      <c r="L271" s="49">
        <v>0.0</v>
      </c>
    </row>
    <row r="272">
      <c r="A272" s="49">
        <v>2.0</v>
      </c>
      <c r="B272" s="49" t="s">
        <v>14</v>
      </c>
      <c r="C272" s="50">
        <f t="shared" si="29"/>
        <v>0</v>
      </c>
      <c r="D272" s="13"/>
      <c r="E272" s="49">
        <v>0.0</v>
      </c>
      <c r="F272" s="49">
        <v>0.0</v>
      </c>
      <c r="G272" s="49">
        <v>0.0</v>
      </c>
      <c r="H272" s="49">
        <v>0.0</v>
      </c>
      <c r="I272" s="49">
        <v>0.0</v>
      </c>
      <c r="J272" s="49">
        <v>0.0</v>
      </c>
      <c r="K272" s="49">
        <v>0.0</v>
      </c>
      <c r="L272" s="49">
        <v>0.0</v>
      </c>
    </row>
    <row r="273">
      <c r="A273" s="49">
        <v>3.0</v>
      </c>
      <c r="B273" s="49" t="s">
        <v>15</v>
      </c>
      <c r="C273" s="50">
        <f t="shared" si="29"/>
        <v>0</v>
      </c>
      <c r="D273" s="13"/>
      <c r="E273" s="49">
        <v>0.0</v>
      </c>
      <c r="F273" s="49">
        <v>0.0</v>
      </c>
      <c r="G273" s="49">
        <v>0.0</v>
      </c>
      <c r="H273" s="49">
        <v>0.0</v>
      </c>
      <c r="I273" s="49">
        <v>0.0</v>
      </c>
      <c r="J273" s="49">
        <v>0.0</v>
      </c>
      <c r="K273" s="49">
        <v>0.0</v>
      </c>
      <c r="L273" s="49">
        <v>0.0</v>
      </c>
    </row>
    <row r="274">
      <c r="A274" s="19" t="s">
        <v>110</v>
      </c>
      <c r="B274" s="3"/>
      <c r="C274" s="20">
        <f>SUM(C271:C273)</f>
        <v>2</v>
      </c>
      <c r="D274" s="21"/>
      <c r="E274" s="20">
        <f t="shared" ref="E274:L274" si="30">SUM(E271:E273)</f>
        <v>0</v>
      </c>
      <c r="F274" s="20">
        <f t="shared" si="30"/>
        <v>2</v>
      </c>
      <c r="G274" s="20">
        <f t="shared" si="30"/>
        <v>0</v>
      </c>
      <c r="H274" s="20">
        <f t="shared" si="30"/>
        <v>0</v>
      </c>
      <c r="I274" s="20">
        <f t="shared" si="30"/>
        <v>0</v>
      </c>
      <c r="J274" s="20">
        <f t="shared" si="30"/>
        <v>0</v>
      </c>
      <c r="K274" s="20">
        <f t="shared" si="30"/>
        <v>0</v>
      </c>
      <c r="L274" s="20">
        <f t="shared" si="30"/>
        <v>0</v>
      </c>
    </row>
    <row r="275">
      <c r="A275" s="2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3"/>
    </row>
    <row r="276">
      <c r="A276" s="39" t="s">
        <v>111</v>
      </c>
      <c r="B276" s="2"/>
      <c r="C276" s="3"/>
      <c r="D276" s="51"/>
      <c r="E276" s="26" t="s">
        <v>112</v>
      </c>
      <c r="F276" s="2"/>
      <c r="G276" s="2"/>
      <c r="H276" s="2"/>
      <c r="I276" s="2"/>
      <c r="J276" s="2"/>
      <c r="K276" s="2"/>
      <c r="L276" s="3"/>
    </row>
    <row r="277" ht="19.5" customHeight="1">
      <c r="A277" s="52" t="s">
        <v>5</v>
      </c>
      <c r="B277" s="22" t="s">
        <v>113</v>
      </c>
      <c r="C277" s="22" t="s">
        <v>7</v>
      </c>
      <c r="D277" s="48"/>
      <c r="E277" s="9" t="s">
        <v>8</v>
      </c>
      <c r="F277" s="9" t="s">
        <v>9</v>
      </c>
      <c r="G277" s="9" t="s">
        <v>10</v>
      </c>
      <c r="H277" s="9" t="s">
        <v>11</v>
      </c>
      <c r="I277" s="9" t="s">
        <v>12</v>
      </c>
      <c r="J277" s="9" t="s">
        <v>13</v>
      </c>
      <c r="K277" s="9" t="s">
        <v>14</v>
      </c>
      <c r="L277" s="9" t="s">
        <v>15</v>
      </c>
    </row>
    <row r="278">
      <c r="A278" s="49">
        <v>1.0</v>
      </c>
      <c r="B278" s="49" t="s">
        <v>34</v>
      </c>
      <c r="C278" s="50">
        <f t="shared" ref="C278:C280" si="31">E278+F278+G278+H278+I278+J278+K278+L278</f>
        <v>0</v>
      </c>
      <c r="D278" s="13"/>
      <c r="E278" s="49">
        <v>0.0</v>
      </c>
      <c r="F278" s="49">
        <v>0.0</v>
      </c>
      <c r="G278" s="49">
        <v>0.0</v>
      </c>
      <c r="H278" s="49">
        <v>0.0</v>
      </c>
      <c r="I278" s="49">
        <v>0.0</v>
      </c>
      <c r="J278" s="49">
        <v>0.0</v>
      </c>
      <c r="K278" s="49">
        <v>0.0</v>
      </c>
      <c r="L278" s="49">
        <v>0.0</v>
      </c>
    </row>
    <row r="279">
      <c r="A279" s="49">
        <v>2.0</v>
      </c>
      <c r="B279" s="49" t="s">
        <v>14</v>
      </c>
      <c r="C279" s="50">
        <f t="shared" si="31"/>
        <v>0</v>
      </c>
      <c r="D279" s="13"/>
      <c r="E279" s="49">
        <v>0.0</v>
      </c>
      <c r="F279" s="49">
        <v>0.0</v>
      </c>
      <c r="G279" s="49">
        <v>0.0</v>
      </c>
      <c r="H279" s="49">
        <v>0.0</v>
      </c>
      <c r="I279" s="49">
        <v>0.0</v>
      </c>
      <c r="J279" s="49">
        <v>0.0</v>
      </c>
      <c r="K279" s="49">
        <v>0.0</v>
      </c>
      <c r="L279" s="49">
        <v>0.0</v>
      </c>
    </row>
    <row r="280">
      <c r="A280" s="49">
        <v>3.0</v>
      </c>
      <c r="B280" s="49" t="s">
        <v>15</v>
      </c>
      <c r="C280" s="50">
        <f t="shared" si="31"/>
        <v>0</v>
      </c>
      <c r="D280" s="13"/>
      <c r="E280" s="49">
        <v>0.0</v>
      </c>
      <c r="F280" s="49">
        <v>0.0</v>
      </c>
      <c r="G280" s="49">
        <v>0.0</v>
      </c>
      <c r="H280" s="49">
        <v>0.0</v>
      </c>
      <c r="I280" s="49">
        <v>0.0</v>
      </c>
      <c r="J280" s="49">
        <v>0.0</v>
      </c>
      <c r="K280" s="49">
        <v>0.0</v>
      </c>
      <c r="L280" s="49">
        <v>0.0</v>
      </c>
    </row>
    <row r="281">
      <c r="A281" s="30" t="s">
        <v>114</v>
      </c>
      <c r="B281" s="3"/>
      <c r="C281" s="20">
        <f>SUM(C278:C280)</f>
        <v>0</v>
      </c>
      <c r="D281" s="21"/>
      <c r="E281" s="20">
        <f t="shared" ref="E281:L281" si="32">SUM(E278:E280)</f>
        <v>0</v>
      </c>
      <c r="F281" s="20">
        <f t="shared" si="32"/>
        <v>0</v>
      </c>
      <c r="G281" s="20">
        <f t="shared" si="32"/>
        <v>0</v>
      </c>
      <c r="H281" s="20">
        <f t="shared" si="32"/>
        <v>0</v>
      </c>
      <c r="I281" s="20">
        <f t="shared" si="32"/>
        <v>0</v>
      </c>
      <c r="J281" s="20">
        <f t="shared" si="32"/>
        <v>0</v>
      </c>
      <c r="K281" s="20">
        <f t="shared" si="32"/>
        <v>0</v>
      </c>
      <c r="L281" s="20">
        <f t="shared" si="32"/>
        <v>0</v>
      </c>
    </row>
    <row r="282">
      <c r="A282" s="56" t="s">
        <v>115</v>
      </c>
      <c r="B282" s="2"/>
      <c r="C282" s="3"/>
      <c r="D282" s="57"/>
      <c r="E282" s="20">
        <f>C274+C281</f>
        <v>2</v>
      </c>
      <c r="F282" s="23"/>
      <c r="G282" s="2"/>
      <c r="H282" s="2"/>
      <c r="I282" s="2"/>
      <c r="J282" s="2"/>
      <c r="K282" s="2"/>
      <c r="L282" s="3"/>
    </row>
    <row r="283">
      <c r="A283" s="2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3"/>
    </row>
    <row r="284">
      <c r="A284" s="58" t="s">
        <v>116</v>
      </c>
      <c r="B284" s="2"/>
      <c r="C284" s="2"/>
      <c r="D284" s="2"/>
      <c r="E284" s="3"/>
      <c r="F284" s="57"/>
      <c r="G284" s="58" t="s">
        <v>117</v>
      </c>
      <c r="H284" s="2"/>
      <c r="I284" s="2"/>
      <c r="J284" s="2"/>
      <c r="K284" s="2"/>
      <c r="L284" s="3"/>
    </row>
    <row r="285">
      <c r="A285" s="58" t="s">
        <v>118</v>
      </c>
      <c r="B285" s="2"/>
      <c r="C285" s="3"/>
      <c r="D285" s="59"/>
      <c r="E285" s="60" t="s">
        <v>119</v>
      </c>
      <c r="F285" s="8"/>
      <c r="G285" s="61" t="s">
        <v>118</v>
      </c>
      <c r="H285" s="2"/>
      <c r="I285" s="2"/>
      <c r="J285" s="2"/>
      <c r="K285" s="3"/>
      <c r="L285" s="62" t="s">
        <v>120</v>
      </c>
    </row>
    <row r="286">
      <c r="A286" s="63" t="s">
        <v>53</v>
      </c>
      <c r="B286" s="2"/>
      <c r="C286" s="2"/>
      <c r="D286" s="64"/>
      <c r="E286" s="65">
        <f>E69</f>
        <v>6762</v>
      </c>
      <c r="F286" s="13"/>
      <c r="G286" s="66" t="s">
        <v>121</v>
      </c>
      <c r="H286" s="2"/>
      <c r="I286" s="2"/>
      <c r="J286" s="2"/>
      <c r="K286" s="3"/>
      <c r="L286" s="67">
        <v>489900.0</v>
      </c>
    </row>
    <row r="287">
      <c r="A287" s="63" t="s">
        <v>64</v>
      </c>
      <c r="B287" s="2"/>
      <c r="C287" s="2"/>
      <c r="D287" s="64"/>
      <c r="E287" s="65">
        <f>E138</f>
        <v>476</v>
      </c>
      <c r="F287" s="13"/>
      <c r="G287" s="66" t="s">
        <v>122</v>
      </c>
      <c r="H287" s="2"/>
      <c r="I287" s="2"/>
      <c r="J287" s="2"/>
      <c r="K287" s="3"/>
      <c r="L287" s="67">
        <v>2442700.0</v>
      </c>
    </row>
    <row r="288">
      <c r="A288" s="63" t="s">
        <v>73</v>
      </c>
      <c r="B288" s="2"/>
      <c r="C288" s="2"/>
      <c r="D288" s="64"/>
      <c r="E288" s="65">
        <f>E207</f>
        <v>128</v>
      </c>
      <c r="F288" s="13"/>
      <c r="G288" s="66" t="s">
        <v>123</v>
      </c>
      <c r="H288" s="2"/>
      <c r="I288" s="2"/>
      <c r="J288" s="2"/>
      <c r="K288" s="3"/>
      <c r="L288" s="67">
        <v>0.0</v>
      </c>
    </row>
    <row r="289">
      <c r="A289" s="66" t="s">
        <v>125</v>
      </c>
      <c r="B289" s="2"/>
      <c r="C289" s="3"/>
      <c r="D289" s="64"/>
      <c r="E289" s="65">
        <f>E222+E237+E252+E267+E282</f>
        <v>194</v>
      </c>
      <c r="F289" s="18"/>
      <c r="G289" s="66" t="s">
        <v>126</v>
      </c>
      <c r="H289" s="2"/>
      <c r="I289" s="2"/>
      <c r="J289" s="2"/>
      <c r="K289" s="3"/>
      <c r="L289" s="67">
        <v>0.0</v>
      </c>
    </row>
    <row r="290">
      <c r="A290" s="68" t="s">
        <v>127</v>
      </c>
      <c r="B290" s="2"/>
      <c r="C290" s="3"/>
      <c r="D290" s="64"/>
      <c r="E290" s="59">
        <f>SUM(E286:E289)</f>
        <v>7560</v>
      </c>
      <c r="F290" s="57"/>
      <c r="G290" s="68" t="s">
        <v>128</v>
      </c>
      <c r="H290" s="2"/>
      <c r="I290" s="2"/>
      <c r="J290" s="2"/>
      <c r="K290" s="3"/>
      <c r="L290" s="69">
        <f>SUM(L286:L289)</f>
        <v>2932600</v>
      </c>
    </row>
    <row r="291">
      <c r="A291" s="70"/>
      <c r="B291" s="70"/>
      <c r="C291" s="70"/>
      <c r="D291" s="70"/>
      <c r="E291" s="70"/>
    </row>
    <row r="292">
      <c r="A292" s="70"/>
      <c r="B292" s="70"/>
      <c r="C292" s="70"/>
      <c r="D292" s="70"/>
      <c r="E292" s="70"/>
    </row>
    <row r="293">
      <c r="A293" s="70"/>
      <c r="B293" s="70"/>
      <c r="C293" s="70"/>
      <c r="D293" s="70"/>
      <c r="E293" s="70"/>
    </row>
    <row r="294">
      <c r="A294" s="70"/>
      <c r="B294" s="70"/>
      <c r="C294" s="70"/>
      <c r="D294" s="70"/>
      <c r="E294" s="70"/>
    </row>
    <row r="295">
      <c r="A295" s="70"/>
      <c r="B295" s="70"/>
      <c r="C295" s="70"/>
      <c r="D295" s="70"/>
      <c r="E295" s="70"/>
    </row>
    <row r="296">
      <c r="A296" s="70"/>
      <c r="B296" s="70"/>
      <c r="C296" s="70"/>
      <c r="D296" s="70"/>
      <c r="E296" s="70"/>
    </row>
    <row r="297">
      <c r="A297" s="70"/>
      <c r="B297" s="70"/>
      <c r="C297" s="70"/>
      <c r="D297" s="70"/>
      <c r="E297" s="70"/>
    </row>
    <row r="298">
      <c r="A298" s="70"/>
      <c r="B298" s="70"/>
      <c r="C298" s="70"/>
      <c r="D298" s="70"/>
      <c r="E298" s="70"/>
    </row>
  </sheetData>
  <mergeCells count="112">
    <mergeCell ref="A209:C209"/>
    <mergeCell ref="A214:B214"/>
    <mergeCell ref="A215:L215"/>
    <mergeCell ref="A216:C216"/>
    <mergeCell ref="E216:L216"/>
    <mergeCell ref="A221:B221"/>
    <mergeCell ref="A222:C222"/>
    <mergeCell ref="F222:L222"/>
    <mergeCell ref="A223:L223"/>
    <mergeCell ref="A224:C224"/>
    <mergeCell ref="E224:L224"/>
    <mergeCell ref="A230:L230"/>
    <mergeCell ref="A231:C231"/>
    <mergeCell ref="E231:L231"/>
    <mergeCell ref="D232:D235"/>
    <mergeCell ref="D240:D243"/>
    <mergeCell ref="A244:B244"/>
    <mergeCell ref="A246:C246"/>
    <mergeCell ref="A229:B229"/>
    <mergeCell ref="A236:B236"/>
    <mergeCell ref="A237:C237"/>
    <mergeCell ref="F237:L237"/>
    <mergeCell ref="A238:L238"/>
    <mergeCell ref="A239:C239"/>
    <mergeCell ref="E239:L239"/>
    <mergeCell ref="A245:L245"/>
    <mergeCell ref="E246:L246"/>
    <mergeCell ref="A251:B251"/>
    <mergeCell ref="A252:C252"/>
    <mergeCell ref="F252:L252"/>
    <mergeCell ref="A253:L253"/>
    <mergeCell ref="A254:C254"/>
    <mergeCell ref="E254:L254"/>
    <mergeCell ref="A260:L260"/>
    <mergeCell ref="A261:C261"/>
    <mergeCell ref="E261:L261"/>
    <mergeCell ref="D262:D265"/>
    <mergeCell ref="A266:B266"/>
    <mergeCell ref="A267:C267"/>
    <mergeCell ref="F267:L267"/>
    <mergeCell ref="A268:L268"/>
    <mergeCell ref="A269:C269"/>
    <mergeCell ref="E269:L269"/>
    <mergeCell ref="D270:D273"/>
    <mergeCell ref="A274:B274"/>
    <mergeCell ref="A275:L275"/>
    <mergeCell ref="A276:C276"/>
    <mergeCell ref="E276:L276"/>
    <mergeCell ref="D277:D280"/>
    <mergeCell ref="A281:B281"/>
    <mergeCell ref="A282:C282"/>
    <mergeCell ref="F282:L282"/>
    <mergeCell ref="A283:L283"/>
    <mergeCell ref="G286:K286"/>
    <mergeCell ref="G287:K287"/>
    <mergeCell ref="A288:C288"/>
    <mergeCell ref="G288:K288"/>
    <mergeCell ref="A289:C289"/>
    <mergeCell ref="G289:K289"/>
    <mergeCell ref="A290:C290"/>
    <mergeCell ref="G290:K290"/>
    <mergeCell ref="A284:E284"/>
    <mergeCell ref="G284:L284"/>
    <mergeCell ref="A285:C285"/>
    <mergeCell ref="F285:F289"/>
    <mergeCell ref="G285:K285"/>
    <mergeCell ref="A286:C286"/>
    <mergeCell ref="A287:C287"/>
    <mergeCell ref="F69:L69"/>
    <mergeCell ref="A70:L70"/>
    <mergeCell ref="E71:L71"/>
    <mergeCell ref="A104:L104"/>
    <mergeCell ref="E105:L105"/>
    <mergeCell ref="A1:L1"/>
    <mergeCell ref="A2:C2"/>
    <mergeCell ref="E2:L2"/>
    <mergeCell ref="A34:B34"/>
    <mergeCell ref="A35:L35"/>
    <mergeCell ref="A36:C36"/>
    <mergeCell ref="E36:L36"/>
    <mergeCell ref="A137:B137"/>
    <mergeCell ref="A138:C138"/>
    <mergeCell ref="F138:L138"/>
    <mergeCell ref="A139:L139"/>
    <mergeCell ref="A140:C140"/>
    <mergeCell ref="E140:L140"/>
    <mergeCell ref="A173:L173"/>
    <mergeCell ref="E174:L174"/>
    <mergeCell ref="D3:D33"/>
    <mergeCell ref="D37:D67"/>
    <mergeCell ref="A68:B68"/>
    <mergeCell ref="A69:C69"/>
    <mergeCell ref="A71:C71"/>
    <mergeCell ref="A103:B103"/>
    <mergeCell ref="A105:C105"/>
    <mergeCell ref="A172:B172"/>
    <mergeCell ref="A174:C174"/>
    <mergeCell ref="A206:B206"/>
    <mergeCell ref="A207:C207"/>
    <mergeCell ref="F207:L207"/>
    <mergeCell ref="A208:L208"/>
    <mergeCell ref="E209:L209"/>
    <mergeCell ref="D247:D250"/>
    <mergeCell ref="D255:D258"/>
    <mergeCell ref="A259:B259"/>
    <mergeCell ref="D72:D102"/>
    <mergeCell ref="D106:D136"/>
    <mergeCell ref="D141:D171"/>
    <mergeCell ref="D175:D205"/>
    <mergeCell ref="D210:D213"/>
    <mergeCell ref="D217:D220"/>
    <mergeCell ref="D225:D228"/>
  </mergeCells>
  <printOptions gridLines="1" horizontalCentered="1"/>
  <pageMargins bottom="0.75" footer="0.0" header="0.0" left="0.25" right="0.25" top="0.75"/>
  <pageSetup paperSize="9" cellComments="atEnd" orientation="landscape" pageOrder="overThenDown"/>
  <rowBreaks count="10" manualBreakCount="10">
    <brk man="1"/>
    <brk id="34" man="1"/>
    <brk id="290" man="1"/>
    <brk id="244" man="1"/>
    <brk id="69" man="1"/>
    <brk id="103" man="1"/>
    <brk id="138" man="1"/>
    <brk id="282" man="1"/>
    <brk id="172" man="1"/>
    <brk id="207" man="1"/>
  </rowBreaks>
  <colBreaks count="2" manualBreakCount="2">
    <brk man="1"/>
    <brk id="12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1.5"/>
    <col customWidth="1" min="3" max="3" width="14.38"/>
    <col customWidth="1" min="4" max="4" width="3.0"/>
    <col customWidth="1" min="11" max="11" width="11.75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3</v>
      </c>
      <c r="B2" s="2"/>
      <c r="C2" s="3"/>
      <c r="D2" s="5"/>
      <c r="E2" s="6" t="s">
        <v>4</v>
      </c>
      <c r="F2" s="2"/>
      <c r="G2" s="2"/>
      <c r="H2" s="2"/>
      <c r="I2" s="2"/>
      <c r="J2" s="2"/>
      <c r="K2" s="2"/>
      <c r="L2" s="3"/>
    </row>
    <row r="3">
      <c r="A3" s="7" t="s">
        <v>5</v>
      </c>
      <c r="B3" s="7" t="s">
        <v>6</v>
      </c>
      <c r="C3" s="7" t="s">
        <v>7</v>
      </c>
      <c r="D3" s="8"/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9" t="s">
        <v>13</v>
      </c>
      <c r="K3" s="9" t="s">
        <v>14</v>
      </c>
      <c r="L3" s="9" t="s">
        <v>15</v>
      </c>
    </row>
    <row r="4">
      <c r="A4" s="10">
        <v>1.0</v>
      </c>
      <c r="B4" s="11" t="s">
        <v>16</v>
      </c>
      <c r="C4" s="12">
        <f t="shared" ref="C4:C33" si="1">E4+F4+G4+H4+I4+J4+K4+L4</f>
        <v>320</v>
      </c>
      <c r="D4" s="13"/>
      <c r="E4" s="12">
        <v>198.0</v>
      </c>
      <c r="F4" s="12">
        <v>35.0</v>
      </c>
      <c r="G4" s="12">
        <v>0.0</v>
      </c>
      <c r="H4" s="12">
        <v>10.0</v>
      </c>
      <c r="I4" s="12">
        <v>73.0</v>
      </c>
      <c r="J4" s="12">
        <v>4.0</v>
      </c>
      <c r="K4" s="12">
        <v>0.0</v>
      </c>
      <c r="L4" s="12">
        <v>0.0</v>
      </c>
    </row>
    <row r="5">
      <c r="A5" s="10">
        <v>2.0</v>
      </c>
      <c r="B5" s="11" t="s">
        <v>17</v>
      </c>
      <c r="C5" s="12">
        <f t="shared" si="1"/>
        <v>36</v>
      </c>
      <c r="D5" s="13"/>
      <c r="E5" s="12">
        <v>0.0</v>
      </c>
      <c r="F5" s="12">
        <v>0.0</v>
      </c>
      <c r="G5" s="12">
        <v>0.0</v>
      </c>
      <c r="H5" s="12">
        <v>6.0</v>
      </c>
      <c r="I5" s="12">
        <v>0.0</v>
      </c>
      <c r="J5" s="12">
        <v>30.0</v>
      </c>
      <c r="K5" s="12">
        <v>0.0</v>
      </c>
      <c r="L5" s="12">
        <v>0.0</v>
      </c>
    </row>
    <row r="6">
      <c r="A6" s="10">
        <v>3.0</v>
      </c>
      <c r="B6" s="11" t="s">
        <v>18</v>
      </c>
      <c r="C6" s="12">
        <f t="shared" si="1"/>
        <v>385</v>
      </c>
      <c r="D6" s="13"/>
      <c r="E6" s="12">
        <v>0.0</v>
      </c>
      <c r="F6" s="12">
        <v>383.0</v>
      </c>
      <c r="G6" s="12">
        <v>0.0</v>
      </c>
      <c r="H6" s="12">
        <v>0.0</v>
      </c>
      <c r="I6" s="12">
        <v>1.0</v>
      </c>
      <c r="J6" s="12">
        <v>1.0</v>
      </c>
      <c r="K6" s="12">
        <v>0.0</v>
      </c>
      <c r="L6" s="12">
        <v>0.0</v>
      </c>
    </row>
    <row r="7">
      <c r="A7" s="10">
        <v>4.0</v>
      </c>
      <c r="B7" s="11" t="s">
        <v>19</v>
      </c>
      <c r="C7" s="12">
        <f t="shared" si="1"/>
        <v>51</v>
      </c>
      <c r="D7" s="13"/>
      <c r="E7" s="12">
        <v>0.0</v>
      </c>
      <c r="F7" s="12">
        <v>0.0</v>
      </c>
      <c r="G7" s="12">
        <v>0.0</v>
      </c>
      <c r="H7" s="12">
        <v>42.0</v>
      </c>
      <c r="I7" s="12">
        <v>0.0</v>
      </c>
      <c r="J7" s="12">
        <v>9.0</v>
      </c>
      <c r="K7" s="12">
        <v>0.0</v>
      </c>
      <c r="L7" s="12">
        <v>0.0</v>
      </c>
    </row>
    <row r="8">
      <c r="A8" s="10">
        <v>5.0</v>
      </c>
      <c r="B8" s="11" t="s">
        <v>20</v>
      </c>
      <c r="C8" s="12">
        <f t="shared" si="1"/>
        <v>1551</v>
      </c>
      <c r="D8" s="13"/>
      <c r="E8" s="12">
        <v>1230.0</v>
      </c>
      <c r="F8" s="12">
        <v>230.0</v>
      </c>
      <c r="G8" s="12">
        <v>0.0</v>
      </c>
      <c r="H8" s="12">
        <v>33.0</v>
      </c>
      <c r="I8" s="12">
        <v>10.0</v>
      </c>
      <c r="J8" s="12">
        <v>48.0</v>
      </c>
      <c r="K8" s="12">
        <v>0.0</v>
      </c>
      <c r="L8" s="12">
        <v>0.0</v>
      </c>
    </row>
    <row r="9">
      <c r="A9" s="10">
        <v>6.0</v>
      </c>
      <c r="B9" s="14" t="s">
        <v>21</v>
      </c>
      <c r="C9" s="12">
        <f t="shared" si="1"/>
        <v>11</v>
      </c>
      <c r="D9" s="13"/>
      <c r="E9" s="12">
        <v>0.0</v>
      </c>
      <c r="F9" s="12">
        <v>0.0</v>
      </c>
      <c r="G9" s="12">
        <v>0.0</v>
      </c>
      <c r="H9" s="12">
        <v>0.0</v>
      </c>
      <c r="I9" s="12">
        <v>0.0</v>
      </c>
      <c r="J9" s="12">
        <v>11.0</v>
      </c>
      <c r="K9" s="12">
        <v>0.0</v>
      </c>
      <c r="L9" s="12">
        <v>0.0</v>
      </c>
    </row>
    <row r="10">
      <c r="A10" s="10">
        <v>7.0</v>
      </c>
      <c r="B10" s="11" t="s">
        <v>23</v>
      </c>
      <c r="C10" s="12">
        <f t="shared" si="1"/>
        <v>11</v>
      </c>
      <c r="D10" s="13"/>
      <c r="E10" s="12">
        <v>0.0</v>
      </c>
      <c r="F10" s="12">
        <v>0.0</v>
      </c>
      <c r="G10" s="12">
        <v>0.0</v>
      </c>
      <c r="H10" s="12">
        <v>0.0</v>
      </c>
      <c r="I10" s="12">
        <v>0.0</v>
      </c>
      <c r="J10" s="12">
        <v>11.0</v>
      </c>
      <c r="K10" s="12">
        <v>0.0</v>
      </c>
      <c r="L10" s="12">
        <v>0.0</v>
      </c>
    </row>
    <row r="11">
      <c r="A11" s="10">
        <v>8.0</v>
      </c>
      <c r="B11" s="11" t="s">
        <v>25</v>
      </c>
      <c r="C11" s="12">
        <f t="shared" si="1"/>
        <v>4</v>
      </c>
      <c r="D11" s="13"/>
      <c r="E11" s="12">
        <v>0.0</v>
      </c>
      <c r="F11" s="12">
        <v>0.0</v>
      </c>
      <c r="G11" s="12">
        <v>0.0</v>
      </c>
      <c r="H11" s="12">
        <v>4.0</v>
      </c>
      <c r="I11" s="12">
        <v>0.0</v>
      </c>
      <c r="J11" s="12">
        <v>0.0</v>
      </c>
      <c r="K11" s="12">
        <v>0.0</v>
      </c>
      <c r="L11" s="12">
        <v>0.0</v>
      </c>
    </row>
    <row r="12">
      <c r="A12" s="10">
        <v>9.0</v>
      </c>
      <c r="B12" s="11" t="s">
        <v>26</v>
      </c>
      <c r="C12" s="12">
        <f t="shared" si="1"/>
        <v>69</v>
      </c>
      <c r="D12" s="13"/>
      <c r="E12" s="12">
        <v>0.0</v>
      </c>
      <c r="F12" s="12">
        <v>0.0</v>
      </c>
      <c r="G12" s="12">
        <v>0.0</v>
      </c>
      <c r="H12" s="12">
        <v>52.0</v>
      </c>
      <c r="I12" s="12">
        <v>0.0</v>
      </c>
      <c r="J12" s="12">
        <v>17.0</v>
      </c>
      <c r="K12" s="12">
        <v>0.0</v>
      </c>
      <c r="L12" s="12">
        <v>0.0</v>
      </c>
    </row>
    <row r="13">
      <c r="A13" s="10">
        <v>10.0</v>
      </c>
      <c r="B13" s="14" t="s">
        <v>27</v>
      </c>
      <c r="C13" s="12">
        <f t="shared" si="1"/>
        <v>25</v>
      </c>
      <c r="D13" s="13"/>
      <c r="E13" s="12">
        <v>25.0</v>
      </c>
      <c r="F13" s="12">
        <v>0.0</v>
      </c>
      <c r="G13" s="12">
        <v>0.0</v>
      </c>
      <c r="H13" s="12">
        <v>0.0</v>
      </c>
      <c r="I13" s="12">
        <v>0.0</v>
      </c>
      <c r="J13" s="12">
        <v>0.0</v>
      </c>
      <c r="K13" s="12">
        <v>0.0</v>
      </c>
      <c r="L13" s="12">
        <v>0.0</v>
      </c>
    </row>
    <row r="14">
      <c r="A14" s="10">
        <v>11.0</v>
      </c>
      <c r="B14" s="11" t="s">
        <v>28</v>
      </c>
      <c r="C14" s="12">
        <f t="shared" si="1"/>
        <v>396</v>
      </c>
      <c r="D14" s="13"/>
      <c r="E14" s="12">
        <v>108.0</v>
      </c>
      <c r="F14" s="12">
        <v>0.0</v>
      </c>
      <c r="G14" s="12">
        <v>0.0</v>
      </c>
      <c r="H14" s="12">
        <v>0.0</v>
      </c>
      <c r="I14" s="12">
        <v>0.0</v>
      </c>
      <c r="J14" s="12">
        <v>288.0</v>
      </c>
      <c r="K14" s="12">
        <v>0.0</v>
      </c>
      <c r="L14" s="12">
        <v>0.0</v>
      </c>
    </row>
    <row r="15">
      <c r="A15" s="10">
        <v>12.0</v>
      </c>
      <c r="B15" s="11" t="s">
        <v>29</v>
      </c>
      <c r="C15" s="12">
        <f t="shared" si="1"/>
        <v>17</v>
      </c>
      <c r="D15" s="13"/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17.0</v>
      </c>
      <c r="K15" s="12">
        <v>0.0</v>
      </c>
      <c r="L15" s="12">
        <v>0.0</v>
      </c>
    </row>
    <row r="16">
      <c r="A16" s="10">
        <v>13.0</v>
      </c>
      <c r="B16" s="11" t="s">
        <v>30</v>
      </c>
      <c r="C16" s="12">
        <f t="shared" si="1"/>
        <v>91</v>
      </c>
      <c r="D16" s="13"/>
      <c r="E16" s="12">
        <v>13.0</v>
      </c>
      <c r="F16" s="12">
        <v>0.0</v>
      </c>
      <c r="G16" s="12">
        <v>0.0</v>
      </c>
      <c r="H16" s="12">
        <v>0.0</v>
      </c>
      <c r="I16" s="12">
        <v>0.0</v>
      </c>
      <c r="J16" s="12">
        <v>78.0</v>
      </c>
      <c r="K16" s="12">
        <v>0.0</v>
      </c>
      <c r="L16" s="12">
        <v>0.0</v>
      </c>
    </row>
    <row r="17">
      <c r="A17" s="10">
        <v>14.0</v>
      </c>
      <c r="B17" s="11" t="s">
        <v>31</v>
      </c>
      <c r="C17" s="12">
        <f t="shared" si="1"/>
        <v>48</v>
      </c>
      <c r="D17" s="13"/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48.0</v>
      </c>
      <c r="K17" s="12">
        <v>0.0</v>
      </c>
      <c r="L17" s="12">
        <v>0.0</v>
      </c>
    </row>
    <row r="18">
      <c r="A18" s="10">
        <v>15.0</v>
      </c>
      <c r="B18" s="11" t="s">
        <v>32</v>
      </c>
      <c r="C18" s="12">
        <f t="shared" si="1"/>
        <v>52</v>
      </c>
      <c r="D18" s="13"/>
      <c r="E18" s="12">
        <v>0.0</v>
      </c>
      <c r="F18" s="12">
        <v>0.0</v>
      </c>
      <c r="G18" s="12">
        <v>0.0</v>
      </c>
      <c r="H18" s="12">
        <v>35.0</v>
      </c>
      <c r="I18" s="12">
        <v>0.0</v>
      </c>
      <c r="J18" s="12">
        <v>17.0</v>
      </c>
      <c r="K18" s="12">
        <v>0.0</v>
      </c>
      <c r="L18" s="12">
        <v>0.0</v>
      </c>
    </row>
    <row r="19">
      <c r="A19" s="10">
        <v>16.0</v>
      </c>
      <c r="B19" s="14" t="s">
        <v>33</v>
      </c>
      <c r="C19" s="12">
        <f t="shared" si="1"/>
        <v>63</v>
      </c>
      <c r="D19" s="13"/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63.0</v>
      </c>
      <c r="K19" s="12">
        <v>0.0</v>
      </c>
      <c r="L19" s="12">
        <v>0.0</v>
      </c>
    </row>
    <row r="20">
      <c r="A20" s="10">
        <v>17.0</v>
      </c>
      <c r="B20" s="14" t="s">
        <v>34</v>
      </c>
      <c r="C20" s="12">
        <f t="shared" si="1"/>
        <v>596</v>
      </c>
      <c r="D20" s="13"/>
      <c r="E20" s="12">
        <v>32.0</v>
      </c>
      <c r="F20" s="12">
        <v>0.0</v>
      </c>
      <c r="G20" s="12">
        <v>469.0</v>
      </c>
      <c r="H20" s="12">
        <v>23.0</v>
      </c>
      <c r="I20" s="12">
        <v>4.0</v>
      </c>
      <c r="J20" s="12">
        <v>68.0</v>
      </c>
      <c r="K20" s="12">
        <v>0.0</v>
      </c>
      <c r="L20" s="12">
        <v>0.0</v>
      </c>
    </row>
    <row r="21">
      <c r="A21" s="10">
        <v>18.0</v>
      </c>
      <c r="B21" s="14" t="s">
        <v>35</v>
      </c>
      <c r="C21" s="12">
        <f t="shared" si="1"/>
        <v>5</v>
      </c>
      <c r="D21" s="13"/>
      <c r="E21" s="12">
        <v>0.0</v>
      </c>
      <c r="F21" s="12">
        <v>0.0</v>
      </c>
      <c r="G21" s="12">
        <v>0.0</v>
      </c>
      <c r="H21" s="12">
        <v>5.0</v>
      </c>
      <c r="I21" s="12">
        <v>0.0</v>
      </c>
      <c r="J21" s="12">
        <v>0.0</v>
      </c>
      <c r="K21" s="12">
        <v>0.0</v>
      </c>
      <c r="L21" s="12">
        <v>0.0</v>
      </c>
    </row>
    <row r="22">
      <c r="A22" s="16">
        <v>19.0</v>
      </c>
      <c r="B22" s="11" t="s">
        <v>36</v>
      </c>
      <c r="C22" s="12">
        <f t="shared" si="1"/>
        <v>102</v>
      </c>
      <c r="D22" s="13"/>
      <c r="E22" s="12">
        <v>84.0</v>
      </c>
      <c r="F22" s="12">
        <v>14.0</v>
      </c>
      <c r="G22" s="12">
        <v>0.0</v>
      </c>
      <c r="H22" s="12">
        <v>3.0</v>
      </c>
      <c r="I22" s="12">
        <v>1.0</v>
      </c>
      <c r="J22" s="12">
        <v>0.0</v>
      </c>
      <c r="K22" s="12">
        <v>0.0</v>
      </c>
      <c r="L22" s="12">
        <v>0.0</v>
      </c>
    </row>
    <row r="23">
      <c r="A23" s="16">
        <v>20.0</v>
      </c>
      <c r="B23" s="14" t="s">
        <v>37</v>
      </c>
      <c r="C23" s="12">
        <f t="shared" si="1"/>
        <v>6</v>
      </c>
      <c r="D23" s="13"/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6.0</v>
      </c>
      <c r="K23" s="12">
        <v>0.0</v>
      </c>
      <c r="L23" s="12">
        <v>0.0</v>
      </c>
    </row>
    <row r="24">
      <c r="A24" s="10">
        <v>21.0</v>
      </c>
      <c r="B24" s="11" t="s">
        <v>41</v>
      </c>
      <c r="C24" s="12">
        <f t="shared" si="1"/>
        <v>16</v>
      </c>
      <c r="D24" s="13"/>
      <c r="E24" s="12">
        <v>16.0</v>
      </c>
      <c r="F24" s="12">
        <v>0.0</v>
      </c>
      <c r="G24" s="12">
        <v>0.0</v>
      </c>
      <c r="H24" s="12">
        <v>0.0</v>
      </c>
      <c r="I24" s="12">
        <v>0.0</v>
      </c>
      <c r="J24" s="12">
        <v>0.0</v>
      </c>
      <c r="K24" s="12">
        <v>0.0</v>
      </c>
      <c r="L24" s="12">
        <v>0.0</v>
      </c>
    </row>
    <row r="25">
      <c r="A25" s="10">
        <v>22.0</v>
      </c>
      <c r="B25" s="11" t="s">
        <v>39</v>
      </c>
      <c r="C25" s="12">
        <f t="shared" si="1"/>
        <v>159</v>
      </c>
      <c r="D25" s="13"/>
      <c r="E25" s="12">
        <v>33.0</v>
      </c>
      <c r="F25" s="12">
        <v>0.0</v>
      </c>
      <c r="G25" s="12">
        <v>0.0</v>
      </c>
      <c r="H25" s="12">
        <v>125.0</v>
      </c>
      <c r="I25" s="12">
        <v>1.0</v>
      </c>
      <c r="J25" s="12">
        <v>0.0</v>
      </c>
      <c r="K25" s="12">
        <v>0.0</v>
      </c>
      <c r="L25" s="12">
        <v>0.0</v>
      </c>
    </row>
    <row r="26">
      <c r="A26" s="10">
        <v>23.0</v>
      </c>
      <c r="B26" s="14" t="s">
        <v>40</v>
      </c>
      <c r="C26" s="12">
        <f t="shared" si="1"/>
        <v>359</v>
      </c>
      <c r="D26" s="13"/>
      <c r="E26" s="12">
        <v>330.0</v>
      </c>
      <c r="F26" s="12">
        <v>9.0</v>
      </c>
      <c r="G26" s="12">
        <v>0.0</v>
      </c>
      <c r="H26" s="12">
        <v>0.0</v>
      </c>
      <c r="I26" s="12">
        <v>8.0</v>
      </c>
      <c r="J26" s="12">
        <v>12.0</v>
      </c>
      <c r="K26" s="12">
        <v>0.0</v>
      </c>
      <c r="L26" s="12">
        <v>0.0</v>
      </c>
    </row>
    <row r="27">
      <c r="A27" s="10">
        <v>24.0</v>
      </c>
      <c r="B27" s="14" t="s">
        <v>42</v>
      </c>
      <c r="C27" s="12">
        <f t="shared" si="1"/>
        <v>30</v>
      </c>
      <c r="D27" s="13"/>
      <c r="E27" s="12">
        <v>24.0</v>
      </c>
      <c r="F27" s="12">
        <v>0.0</v>
      </c>
      <c r="G27" s="12">
        <v>0.0</v>
      </c>
      <c r="H27" s="12">
        <v>0.0</v>
      </c>
      <c r="I27" s="12">
        <v>0.0</v>
      </c>
      <c r="J27" s="12">
        <v>6.0</v>
      </c>
      <c r="K27" s="12">
        <v>0.0</v>
      </c>
      <c r="L27" s="12">
        <v>0.0</v>
      </c>
    </row>
    <row r="28">
      <c r="A28" s="10">
        <v>25.0</v>
      </c>
      <c r="B28" s="14" t="s">
        <v>43</v>
      </c>
      <c r="C28" s="12">
        <f t="shared" si="1"/>
        <v>117</v>
      </c>
      <c r="D28" s="13"/>
      <c r="E28" s="12">
        <v>113.0</v>
      </c>
      <c r="F28" s="12">
        <v>0.0</v>
      </c>
      <c r="G28" s="12">
        <v>0.0</v>
      </c>
      <c r="H28" s="12">
        <v>0.0</v>
      </c>
      <c r="I28" s="12">
        <v>0.0</v>
      </c>
      <c r="J28" s="12">
        <v>4.0</v>
      </c>
      <c r="K28" s="12">
        <v>0.0</v>
      </c>
      <c r="L28" s="12">
        <v>0.0</v>
      </c>
    </row>
    <row r="29">
      <c r="A29" s="10">
        <v>26.0</v>
      </c>
      <c r="B29" s="11" t="s">
        <v>44</v>
      </c>
      <c r="C29" s="12">
        <f t="shared" si="1"/>
        <v>374</v>
      </c>
      <c r="D29" s="13"/>
      <c r="E29" s="12">
        <v>149.0</v>
      </c>
      <c r="F29" s="12">
        <v>0.0</v>
      </c>
      <c r="G29" s="12">
        <v>0.0</v>
      </c>
      <c r="H29" s="12">
        <v>225.0</v>
      </c>
      <c r="I29" s="12">
        <v>0.0</v>
      </c>
      <c r="J29" s="12">
        <v>0.0</v>
      </c>
      <c r="K29" s="12">
        <v>0.0</v>
      </c>
      <c r="L29" s="12">
        <v>0.0</v>
      </c>
    </row>
    <row r="30">
      <c r="A30" s="10">
        <v>27.0</v>
      </c>
      <c r="B30" s="11" t="s">
        <v>45</v>
      </c>
      <c r="C30" s="12">
        <f t="shared" si="1"/>
        <v>25</v>
      </c>
      <c r="D30" s="13"/>
      <c r="E30" s="12">
        <v>25.0</v>
      </c>
      <c r="F30" s="12">
        <v>0.0</v>
      </c>
      <c r="G30" s="12">
        <v>0.0</v>
      </c>
      <c r="H30" s="12">
        <v>0.0</v>
      </c>
      <c r="I30" s="12">
        <v>0.0</v>
      </c>
      <c r="J30" s="12">
        <v>0.0</v>
      </c>
      <c r="K30" s="12">
        <v>0.0</v>
      </c>
      <c r="L30" s="12">
        <v>0.0</v>
      </c>
    </row>
    <row r="31">
      <c r="A31" s="10">
        <v>28.0</v>
      </c>
      <c r="B31" s="17" t="s">
        <v>46</v>
      </c>
      <c r="C31" s="12">
        <f t="shared" si="1"/>
        <v>209</v>
      </c>
      <c r="D31" s="13"/>
      <c r="E31" s="12">
        <v>0.0</v>
      </c>
      <c r="F31" s="12">
        <v>204.0</v>
      </c>
      <c r="G31" s="12">
        <v>0.0</v>
      </c>
      <c r="H31" s="12">
        <v>0.0</v>
      </c>
      <c r="I31" s="12">
        <v>5.0</v>
      </c>
      <c r="J31" s="12">
        <v>0.0</v>
      </c>
      <c r="K31" s="12">
        <v>0.0</v>
      </c>
      <c r="L31" s="12">
        <v>0.0</v>
      </c>
    </row>
    <row r="32">
      <c r="A32" s="10">
        <v>29.0</v>
      </c>
      <c r="B32" s="11" t="s">
        <v>15</v>
      </c>
      <c r="C32" s="12">
        <f t="shared" si="1"/>
        <v>0</v>
      </c>
      <c r="D32" s="13"/>
      <c r="E32" s="12">
        <v>0.0</v>
      </c>
      <c r="F32" s="12">
        <v>0.0</v>
      </c>
      <c r="G32" s="12">
        <v>0.0</v>
      </c>
      <c r="H32" s="12">
        <v>0.0</v>
      </c>
      <c r="I32" s="12">
        <v>0.0</v>
      </c>
      <c r="J32" s="12">
        <v>0.0</v>
      </c>
      <c r="K32" s="12">
        <v>0.0</v>
      </c>
      <c r="L32" s="12">
        <v>0.0</v>
      </c>
    </row>
    <row r="33">
      <c r="A33" s="10">
        <v>30.0</v>
      </c>
      <c r="B33" s="11" t="s">
        <v>47</v>
      </c>
      <c r="C33" s="12">
        <f t="shared" si="1"/>
        <v>0</v>
      </c>
      <c r="D33" s="18"/>
      <c r="E33" s="12">
        <v>0.0</v>
      </c>
      <c r="F33" s="12">
        <v>0.0</v>
      </c>
      <c r="G33" s="12">
        <v>0.0</v>
      </c>
      <c r="H33" s="12">
        <v>0.0</v>
      </c>
      <c r="I33" s="12">
        <v>0.0</v>
      </c>
      <c r="J33" s="12">
        <v>0.0</v>
      </c>
      <c r="K33" s="12">
        <v>0.0</v>
      </c>
      <c r="L33" s="12">
        <v>0.0</v>
      </c>
    </row>
    <row r="34">
      <c r="A34" s="19" t="s">
        <v>48</v>
      </c>
      <c r="B34" s="3"/>
      <c r="C34" s="20">
        <f>SUM(C4:C33)</f>
        <v>5128</v>
      </c>
      <c r="D34" s="21"/>
      <c r="E34" s="20">
        <f t="shared" ref="E34:L34" si="2">SUM(E4:E33)</f>
        <v>2380</v>
      </c>
      <c r="F34" s="20">
        <f t="shared" si="2"/>
        <v>875</v>
      </c>
      <c r="G34" s="20">
        <f t="shared" si="2"/>
        <v>469</v>
      </c>
      <c r="H34" s="20">
        <f t="shared" si="2"/>
        <v>563</v>
      </c>
      <c r="I34" s="20">
        <f t="shared" si="2"/>
        <v>103</v>
      </c>
      <c r="J34" s="20">
        <f t="shared" si="2"/>
        <v>738</v>
      </c>
      <c r="K34" s="20">
        <f t="shared" si="2"/>
        <v>0</v>
      </c>
      <c r="L34" s="20">
        <f t="shared" si="2"/>
        <v>0</v>
      </c>
    </row>
    <row r="35">
      <c r="A35" s="23"/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</row>
    <row r="36">
      <c r="A36" s="24" t="s">
        <v>49</v>
      </c>
      <c r="B36" s="2"/>
      <c r="C36" s="3"/>
      <c r="D36" s="25"/>
      <c r="E36" s="26" t="s">
        <v>50</v>
      </c>
      <c r="F36" s="2"/>
      <c r="G36" s="2"/>
      <c r="H36" s="2"/>
      <c r="I36" s="2"/>
      <c r="J36" s="2"/>
      <c r="K36" s="2"/>
      <c r="L36" s="3"/>
    </row>
    <row r="37">
      <c r="A37" s="7" t="s">
        <v>5</v>
      </c>
      <c r="B37" s="7" t="s">
        <v>51</v>
      </c>
      <c r="C37" s="7" t="s">
        <v>7</v>
      </c>
      <c r="D37" s="8"/>
      <c r="E37" s="9" t="s">
        <v>8</v>
      </c>
      <c r="F37" s="9" t="s">
        <v>9</v>
      </c>
      <c r="G37" s="9" t="s">
        <v>10</v>
      </c>
      <c r="H37" s="9" t="s">
        <v>11</v>
      </c>
      <c r="I37" s="9" t="s">
        <v>12</v>
      </c>
      <c r="J37" s="9" t="s">
        <v>13</v>
      </c>
      <c r="K37" s="9" t="s">
        <v>14</v>
      </c>
      <c r="L37" s="9" t="s">
        <v>15</v>
      </c>
    </row>
    <row r="38">
      <c r="A38" s="27">
        <v>1.0</v>
      </c>
      <c r="B38" s="17" t="s">
        <v>16</v>
      </c>
      <c r="C38" s="7">
        <f t="shared" ref="C38:C67" si="3">E38+F38+G38+H38+I38+J38+K38+L38</f>
        <v>249</v>
      </c>
      <c r="D38" s="13"/>
      <c r="E38" s="7">
        <v>0.0</v>
      </c>
      <c r="F38" s="7">
        <v>0.0</v>
      </c>
      <c r="G38" s="7">
        <v>0.0</v>
      </c>
      <c r="H38" s="7">
        <v>0.0</v>
      </c>
      <c r="I38" s="7">
        <v>249.0</v>
      </c>
      <c r="J38" s="7">
        <v>0.0</v>
      </c>
      <c r="K38" s="7">
        <v>0.0</v>
      </c>
      <c r="L38" s="7">
        <v>0.0</v>
      </c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10">
        <v>2.0</v>
      </c>
      <c r="B39" s="11" t="s">
        <v>17</v>
      </c>
      <c r="C39" s="12">
        <f t="shared" si="3"/>
        <v>0</v>
      </c>
      <c r="D39" s="13"/>
      <c r="E39" s="12">
        <v>0.0</v>
      </c>
      <c r="F39" s="12">
        <v>0.0</v>
      </c>
      <c r="G39" s="12">
        <v>0.0</v>
      </c>
      <c r="H39" s="12">
        <v>0.0</v>
      </c>
      <c r="I39" s="12">
        <v>0.0</v>
      </c>
      <c r="J39" s="12">
        <v>0.0</v>
      </c>
      <c r="K39" s="12">
        <v>0.0</v>
      </c>
      <c r="L39" s="12">
        <v>0.0</v>
      </c>
    </row>
    <row r="40">
      <c r="A40" s="27">
        <v>3.0</v>
      </c>
      <c r="B40" s="17" t="s">
        <v>18</v>
      </c>
      <c r="C40" s="7">
        <f t="shared" si="3"/>
        <v>691</v>
      </c>
      <c r="D40" s="13"/>
      <c r="E40" s="7">
        <v>0.0</v>
      </c>
      <c r="F40" s="7">
        <v>691.0</v>
      </c>
      <c r="G40" s="7">
        <v>0.0</v>
      </c>
      <c r="H40" s="7">
        <v>0.0</v>
      </c>
      <c r="I40" s="7">
        <v>0.0</v>
      </c>
      <c r="J40" s="7">
        <v>0.0</v>
      </c>
      <c r="K40" s="7">
        <v>0.0</v>
      </c>
      <c r="L40" s="7">
        <v>0.0</v>
      </c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>
      <c r="A41" s="10">
        <v>4.0</v>
      </c>
      <c r="B41" s="11" t="s">
        <v>19</v>
      </c>
      <c r="C41" s="12">
        <f t="shared" si="3"/>
        <v>0</v>
      </c>
      <c r="D41" s="13"/>
      <c r="E41" s="12">
        <v>0.0</v>
      </c>
      <c r="F41" s="12">
        <v>0.0</v>
      </c>
      <c r="G41" s="12">
        <v>0.0</v>
      </c>
      <c r="H41" s="12">
        <v>0.0</v>
      </c>
      <c r="I41" s="12">
        <v>0.0</v>
      </c>
      <c r="J41" s="12">
        <v>0.0</v>
      </c>
      <c r="K41" s="12">
        <v>0.0</v>
      </c>
      <c r="L41" s="12">
        <v>0.0</v>
      </c>
    </row>
    <row r="42">
      <c r="A42" s="10">
        <v>5.0</v>
      </c>
      <c r="B42" s="17" t="s">
        <v>20</v>
      </c>
      <c r="C42" s="7">
        <f t="shared" si="3"/>
        <v>375</v>
      </c>
      <c r="D42" s="13"/>
      <c r="E42" s="7">
        <v>375.0</v>
      </c>
      <c r="F42" s="12">
        <v>0.0</v>
      </c>
      <c r="G42" s="12">
        <v>0.0</v>
      </c>
      <c r="H42" s="12">
        <v>0.0</v>
      </c>
      <c r="I42" s="12">
        <v>0.0</v>
      </c>
      <c r="J42" s="12">
        <v>0.0</v>
      </c>
      <c r="K42" s="12">
        <v>0.0</v>
      </c>
      <c r="L42" s="12">
        <v>0.0</v>
      </c>
    </row>
    <row r="43">
      <c r="A43" s="10">
        <v>6.0</v>
      </c>
      <c r="B43" s="14" t="s">
        <v>21</v>
      </c>
      <c r="C43" s="12">
        <f t="shared" si="3"/>
        <v>0</v>
      </c>
      <c r="D43" s="13"/>
      <c r="E43" s="12">
        <v>0.0</v>
      </c>
      <c r="F43" s="12">
        <v>0.0</v>
      </c>
      <c r="G43" s="12">
        <v>0.0</v>
      </c>
      <c r="H43" s="12">
        <v>0.0</v>
      </c>
      <c r="I43" s="12">
        <v>0.0</v>
      </c>
      <c r="J43" s="12">
        <v>0.0</v>
      </c>
      <c r="K43" s="12">
        <v>0.0</v>
      </c>
      <c r="L43" s="12">
        <v>0.0</v>
      </c>
    </row>
    <row r="44">
      <c r="A44" s="10">
        <v>7.0</v>
      </c>
      <c r="B44" s="11" t="s">
        <v>23</v>
      </c>
      <c r="C44" s="12">
        <f t="shared" si="3"/>
        <v>0</v>
      </c>
      <c r="D44" s="13"/>
      <c r="E44" s="12">
        <v>0.0</v>
      </c>
      <c r="F44" s="12">
        <v>0.0</v>
      </c>
      <c r="G44" s="12">
        <v>0.0</v>
      </c>
      <c r="H44" s="12">
        <v>0.0</v>
      </c>
      <c r="I44" s="12">
        <v>0.0</v>
      </c>
      <c r="J44" s="12">
        <v>0.0</v>
      </c>
      <c r="K44" s="12">
        <v>0.0</v>
      </c>
      <c r="L44" s="12">
        <v>0.0</v>
      </c>
    </row>
    <row r="45">
      <c r="A45" s="10">
        <v>8.0</v>
      </c>
      <c r="B45" s="11" t="s">
        <v>25</v>
      </c>
      <c r="C45" s="12">
        <f t="shared" si="3"/>
        <v>0</v>
      </c>
      <c r="D45" s="13"/>
      <c r="E45" s="12">
        <v>0.0</v>
      </c>
      <c r="F45" s="12">
        <v>0.0</v>
      </c>
      <c r="G45" s="12">
        <v>0.0</v>
      </c>
      <c r="H45" s="12">
        <v>0.0</v>
      </c>
      <c r="I45" s="12">
        <v>0.0</v>
      </c>
      <c r="J45" s="12">
        <v>0.0</v>
      </c>
      <c r="K45" s="12">
        <v>0.0</v>
      </c>
      <c r="L45" s="12">
        <v>0.0</v>
      </c>
    </row>
    <row r="46">
      <c r="A46" s="10">
        <v>9.0</v>
      </c>
      <c r="B46" s="11" t="s">
        <v>26</v>
      </c>
      <c r="C46" s="12">
        <f t="shared" si="3"/>
        <v>0</v>
      </c>
      <c r="D46" s="13"/>
      <c r="E46" s="12">
        <v>0.0</v>
      </c>
      <c r="F46" s="12">
        <v>0.0</v>
      </c>
      <c r="G46" s="12">
        <v>0.0</v>
      </c>
      <c r="H46" s="12">
        <v>0.0</v>
      </c>
      <c r="I46" s="12">
        <v>0.0</v>
      </c>
      <c r="J46" s="12">
        <v>0.0</v>
      </c>
      <c r="K46" s="12">
        <v>0.0</v>
      </c>
      <c r="L46" s="12">
        <v>0.0</v>
      </c>
    </row>
    <row r="47">
      <c r="A47" s="10">
        <v>10.0</v>
      </c>
      <c r="B47" s="14" t="s">
        <v>27</v>
      </c>
      <c r="C47" s="12">
        <f t="shared" si="3"/>
        <v>0</v>
      </c>
      <c r="D47" s="13"/>
      <c r="E47" s="12">
        <v>0.0</v>
      </c>
      <c r="F47" s="12">
        <v>0.0</v>
      </c>
      <c r="G47" s="12">
        <v>0.0</v>
      </c>
      <c r="H47" s="12">
        <v>0.0</v>
      </c>
      <c r="I47" s="12">
        <v>0.0</v>
      </c>
      <c r="J47" s="12">
        <v>0.0</v>
      </c>
      <c r="K47" s="12">
        <v>0.0</v>
      </c>
      <c r="L47" s="12">
        <v>0.0</v>
      </c>
    </row>
    <row r="48">
      <c r="A48" s="10">
        <v>11.0</v>
      </c>
      <c r="B48" s="11" t="s">
        <v>28</v>
      </c>
      <c r="C48" s="12">
        <f t="shared" si="3"/>
        <v>0</v>
      </c>
      <c r="D48" s="13"/>
      <c r="E48" s="12">
        <v>0.0</v>
      </c>
      <c r="F48" s="12">
        <v>0.0</v>
      </c>
      <c r="G48" s="12">
        <v>0.0</v>
      </c>
      <c r="H48" s="12">
        <v>0.0</v>
      </c>
      <c r="I48" s="12">
        <v>0.0</v>
      </c>
      <c r="J48" s="12">
        <v>0.0</v>
      </c>
      <c r="K48" s="12">
        <v>0.0</v>
      </c>
      <c r="L48" s="12">
        <v>0.0</v>
      </c>
    </row>
    <row r="49">
      <c r="A49" s="27">
        <v>12.0</v>
      </c>
      <c r="B49" s="17" t="s">
        <v>29</v>
      </c>
      <c r="C49" s="7">
        <f t="shared" si="3"/>
        <v>405</v>
      </c>
      <c r="D49" s="13"/>
      <c r="E49" s="7">
        <v>0.0</v>
      </c>
      <c r="F49" s="7">
        <v>405.0</v>
      </c>
      <c r="G49" s="7">
        <v>0.0</v>
      </c>
      <c r="H49" s="7">
        <v>0.0</v>
      </c>
      <c r="I49" s="7">
        <v>0.0</v>
      </c>
      <c r="J49" s="7">
        <v>0.0</v>
      </c>
      <c r="K49" s="7">
        <v>0.0</v>
      </c>
      <c r="L49" s="7">
        <v>0.0</v>
      </c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>
      <c r="A50" s="10">
        <v>13.0</v>
      </c>
      <c r="B50" s="11" t="s">
        <v>30</v>
      </c>
      <c r="C50" s="12">
        <f t="shared" si="3"/>
        <v>0</v>
      </c>
      <c r="D50" s="13"/>
      <c r="E50" s="12">
        <v>0.0</v>
      </c>
      <c r="F50" s="12">
        <v>0.0</v>
      </c>
      <c r="G50" s="12">
        <v>0.0</v>
      </c>
      <c r="H50" s="12">
        <v>0.0</v>
      </c>
      <c r="I50" s="12">
        <v>0.0</v>
      </c>
      <c r="J50" s="12">
        <v>0.0</v>
      </c>
      <c r="K50" s="12">
        <v>0.0</v>
      </c>
      <c r="L50" s="12">
        <v>0.0</v>
      </c>
    </row>
    <row r="51">
      <c r="A51" s="10">
        <v>14.0</v>
      </c>
      <c r="B51" s="11" t="s">
        <v>31</v>
      </c>
      <c r="C51" s="12">
        <f t="shared" si="3"/>
        <v>0</v>
      </c>
      <c r="D51" s="13"/>
      <c r="E51" s="12">
        <v>0.0</v>
      </c>
      <c r="F51" s="12">
        <v>0.0</v>
      </c>
      <c r="G51" s="12">
        <v>0.0</v>
      </c>
      <c r="H51" s="12">
        <v>0.0</v>
      </c>
      <c r="I51" s="12">
        <v>0.0</v>
      </c>
      <c r="J51" s="12">
        <v>0.0</v>
      </c>
      <c r="K51" s="12">
        <v>0.0</v>
      </c>
      <c r="L51" s="12">
        <v>0.0</v>
      </c>
    </row>
    <row r="52">
      <c r="A52" s="10">
        <v>15.0</v>
      </c>
      <c r="B52" s="11" t="s">
        <v>32</v>
      </c>
      <c r="C52" s="12">
        <f t="shared" si="3"/>
        <v>0</v>
      </c>
      <c r="D52" s="13"/>
      <c r="E52" s="12">
        <v>0.0</v>
      </c>
      <c r="F52" s="12">
        <v>0.0</v>
      </c>
      <c r="G52" s="12">
        <v>0.0</v>
      </c>
      <c r="H52" s="12">
        <v>0.0</v>
      </c>
      <c r="I52" s="12">
        <v>0.0</v>
      </c>
      <c r="J52" s="12">
        <v>0.0</v>
      </c>
      <c r="K52" s="12">
        <v>0.0</v>
      </c>
      <c r="L52" s="12">
        <v>0.0</v>
      </c>
    </row>
    <row r="53">
      <c r="A53" s="10">
        <v>16.0</v>
      </c>
      <c r="B53" s="14" t="s">
        <v>33</v>
      </c>
      <c r="C53" s="12">
        <f t="shared" si="3"/>
        <v>0</v>
      </c>
      <c r="D53" s="13"/>
      <c r="E53" s="12">
        <v>0.0</v>
      </c>
      <c r="F53" s="12">
        <v>0.0</v>
      </c>
      <c r="G53" s="12">
        <v>0.0</v>
      </c>
      <c r="H53" s="12">
        <v>0.0</v>
      </c>
      <c r="I53" s="12">
        <v>0.0</v>
      </c>
      <c r="J53" s="12">
        <v>0.0</v>
      </c>
      <c r="K53" s="12">
        <v>0.0</v>
      </c>
      <c r="L53" s="12">
        <v>0.0</v>
      </c>
    </row>
    <row r="54">
      <c r="A54" s="10">
        <v>17.0</v>
      </c>
      <c r="B54" s="29" t="s">
        <v>34</v>
      </c>
      <c r="C54" s="7">
        <f t="shared" si="3"/>
        <v>85</v>
      </c>
      <c r="D54" s="13"/>
      <c r="E54" s="12">
        <v>0.0</v>
      </c>
      <c r="F54" s="7">
        <v>85.0</v>
      </c>
      <c r="G54" s="12">
        <v>0.0</v>
      </c>
      <c r="H54" s="12">
        <v>0.0</v>
      </c>
      <c r="I54" s="12">
        <v>0.0</v>
      </c>
      <c r="J54" s="12">
        <v>0.0</v>
      </c>
      <c r="K54" s="12">
        <v>0.0</v>
      </c>
      <c r="L54" s="12">
        <v>0.0</v>
      </c>
    </row>
    <row r="55">
      <c r="A55" s="10">
        <v>18.0</v>
      </c>
      <c r="B55" s="14" t="s">
        <v>35</v>
      </c>
      <c r="C55" s="12">
        <f t="shared" si="3"/>
        <v>0</v>
      </c>
      <c r="D55" s="13"/>
      <c r="E55" s="12">
        <v>0.0</v>
      </c>
      <c r="F55" s="12">
        <v>0.0</v>
      </c>
      <c r="G55" s="12">
        <v>0.0</v>
      </c>
      <c r="H55" s="12">
        <v>0.0</v>
      </c>
      <c r="I55" s="12">
        <v>0.0</v>
      </c>
      <c r="J55" s="12">
        <v>0.0</v>
      </c>
      <c r="K55" s="12">
        <v>0.0</v>
      </c>
      <c r="L55" s="12">
        <v>0.0</v>
      </c>
    </row>
    <row r="56">
      <c r="A56" s="16">
        <v>19.0</v>
      </c>
      <c r="B56" s="17" t="s">
        <v>36</v>
      </c>
      <c r="C56" s="7">
        <f t="shared" si="3"/>
        <v>90</v>
      </c>
      <c r="D56" s="13"/>
      <c r="E56" s="12">
        <v>0.0</v>
      </c>
      <c r="F56" s="12">
        <v>0.0</v>
      </c>
      <c r="G56" s="7">
        <v>90.0</v>
      </c>
      <c r="H56" s="12">
        <v>0.0</v>
      </c>
      <c r="I56" s="12">
        <v>0.0</v>
      </c>
      <c r="J56" s="12">
        <v>0.0</v>
      </c>
      <c r="K56" s="12">
        <v>0.0</v>
      </c>
      <c r="L56" s="12">
        <v>0.0</v>
      </c>
    </row>
    <row r="57">
      <c r="A57" s="16">
        <v>20.0</v>
      </c>
      <c r="B57" s="14" t="s">
        <v>37</v>
      </c>
      <c r="C57" s="12">
        <f t="shared" si="3"/>
        <v>0</v>
      </c>
      <c r="D57" s="13"/>
      <c r="E57" s="12">
        <v>0.0</v>
      </c>
      <c r="F57" s="12">
        <v>0.0</v>
      </c>
      <c r="G57" s="12">
        <v>0.0</v>
      </c>
      <c r="H57" s="12">
        <v>0.0</v>
      </c>
      <c r="I57" s="12">
        <v>0.0</v>
      </c>
      <c r="J57" s="12">
        <v>0.0</v>
      </c>
      <c r="K57" s="12">
        <v>0.0</v>
      </c>
      <c r="L57" s="12">
        <v>0.0</v>
      </c>
    </row>
    <row r="58">
      <c r="A58" s="10">
        <v>21.0</v>
      </c>
      <c r="B58" s="11" t="s">
        <v>38</v>
      </c>
      <c r="C58" s="12">
        <f t="shared" si="3"/>
        <v>0</v>
      </c>
      <c r="D58" s="13"/>
      <c r="E58" s="12">
        <v>0.0</v>
      </c>
      <c r="F58" s="12">
        <v>0.0</v>
      </c>
      <c r="G58" s="12">
        <v>0.0</v>
      </c>
      <c r="H58" s="12">
        <v>0.0</v>
      </c>
      <c r="I58" s="12">
        <v>0.0</v>
      </c>
      <c r="J58" s="12">
        <v>0.0</v>
      </c>
      <c r="K58" s="12">
        <v>0.0</v>
      </c>
      <c r="L58" s="12">
        <v>0.0</v>
      </c>
    </row>
    <row r="59">
      <c r="A59" s="10">
        <v>22.0</v>
      </c>
      <c r="B59" s="11" t="s">
        <v>39</v>
      </c>
      <c r="C59" s="12">
        <f t="shared" si="3"/>
        <v>0</v>
      </c>
      <c r="D59" s="13"/>
      <c r="E59" s="12">
        <v>0.0</v>
      </c>
      <c r="F59" s="12">
        <v>0.0</v>
      </c>
      <c r="G59" s="12">
        <v>0.0</v>
      </c>
      <c r="H59" s="12">
        <v>0.0</v>
      </c>
      <c r="I59" s="12">
        <v>0.0</v>
      </c>
      <c r="J59" s="12">
        <v>0.0</v>
      </c>
      <c r="K59" s="12">
        <v>0.0</v>
      </c>
      <c r="L59" s="12">
        <v>0.0</v>
      </c>
    </row>
    <row r="60">
      <c r="A60" s="10">
        <v>23.0</v>
      </c>
      <c r="B60" s="14" t="s">
        <v>40</v>
      </c>
      <c r="C60" s="12">
        <f t="shared" si="3"/>
        <v>0</v>
      </c>
      <c r="D60" s="13"/>
      <c r="E60" s="12">
        <v>0.0</v>
      </c>
      <c r="F60" s="12">
        <v>0.0</v>
      </c>
      <c r="G60" s="12">
        <v>0.0</v>
      </c>
      <c r="H60" s="12">
        <v>0.0</v>
      </c>
      <c r="I60" s="12">
        <v>0.0</v>
      </c>
      <c r="J60" s="12">
        <v>0.0</v>
      </c>
      <c r="K60" s="12">
        <v>0.0</v>
      </c>
      <c r="L60" s="12">
        <v>0.0</v>
      </c>
    </row>
    <row r="61">
      <c r="A61" s="10">
        <v>24.0</v>
      </c>
      <c r="B61" s="14" t="s">
        <v>42</v>
      </c>
      <c r="C61" s="12">
        <f t="shared" si="3"/>
        <v>0</v>
      </c>
      <c r="D61" s="13"/>
      <c r="E61" s="12">
        <v>0.0</v>
      </c>
      <c r="F61" s="12">
        <v>0.0</v>
      </c>
      <c r="G61" s="12">
        <v>0.0</v>
      </c>
      <c r="H61" s="12">
        <v>0.0</v>
      </c>
      <c r="I61" s="12">
        <v>0.0</v>
      </c>
      <c r="J61" s="12">
        <v>0.0</v>
      </c>
      <c r="K61" s="12">
        <v>0.0</v>
      </c>
      <c r="L61" s="12">
        <v>0.0</v>
      </c>
    </row>
    <row r="62">
      <c r="A62" s="10">
        <v>25.0</v>
      </c>
      <c r="B62" s="14" t="s">
        <v>43</v>
      </c>
      <c r="C62" s="12">
        <f t="shared" si="3"/>
        <v>0</v>
      </c>
      <c r="D62" s="13"/>
      <c r="E62" s="12">
        <v>0.0</v>
      </c>
      <c r="F62" s="12">
        <v>0.0</v>
      </c>
      <c r="G62" s="12">
        <v>0.0</v>
      </c>
      <c r="H62" s="12">
        <v>0.0</v>
      </c>
      <c r="I62" s="12">
        <v>0.0</v>
      </c>
      <c r="J62" s="12">
        <v>0.0</v>
      </c>
      <c r="K62" s="12">
        <v>0.0</v>
      </c>
      <c r="L62" s="12">
        <v>0.0</v>
      </c>
    </row>
    <row r="63">
      <c r="A63" s="10">
        <v>26.0</v>
      </c>
      <c r="B63" s="11" t="s">
        <v>44</v>
      </c>
      <c r="C63" s="12">
        <f t="shared" si="3"/>
        <v>0</v>
      </c>
      <c r="D63" s="13"/>
      <c r="E63" s="12">
        <v>0.0</v>
      </c>
      <c r="F63" s="12">
        <v>0.0</v>
      </c>
      <c r="G63" s="12">
        <v>0.0</v>
      </c>
      <c r="H63" s="12">
        <v>0.0</v>
      </c>
      <c r="I63" s="12">
        <v>0.0</v>
      </c>
      <c r="J63" s="12">
        <v>0.0</v>
      </c>
      <c r="K63" s="12">
        <v>0.0</v>
      </c>
      <c r="L63" s="12">
        <v>0.0</v>
      </c>
    </row>
    <row r="64">
      <c r="A64" s="10">
        <v>27.0</v>
      </c>
      <c r="B64" s="11" t="s">
        <v>45</v>
      </c>
      <c r="C64" s="12">
        <f t="shared" si="3"/>
        <v>0</v>
      </c>
      <c r="D64" s="13"/>
      <c r="E64" s="12">
        <v>0.0</v>
      </c>
      <c r="F64" s="12">
        <v>0.0</v>
      </c>
      <c r="G64" s="12">
        <v>0.0</v>
      </c>
      <c r="H64" s="12">
        <v>0.0</v>
      </c>
      <c r="I64" s="12">
        <v>0.0</v>
      </c>
      <c r="J64" s="12">
        <v>0.0</v>
      </c>
      <c r="K64" s="12">
        <v>0.0</v>
      </c>
      <c r="L64" s="12">
        <v>0.0</v>
      </c>
    </row>
    <row r="65">
      <c r="A65" s="27">
        <v>28.0</v>
      </c>
      <c r="B65" s="17" t="s">
        <v>46</v>
      </c>
      <c r="C65" s="7">
        <f t="shared" si="3"/>
        <v>27</v>
      </c>
      <c r="D65" s="13"/>
      <c r="E65" s="7">
        <v>0.0</v>
      </c>
      <c r="F65" s="7">
        <v>27.0</v>
      </c>
      <c r="G65" s="7">
        <v>0.0</v>
      </c>
      <c r="H65" s="7">
        <v>0.0</v>
      </c>
      <c r="I65" s="7">
        <v>0.0</v>
      </c>
      <c r="J65" s="7">
        <v>0.0</v>
      </c>
      <c r="K65" s="7">
        <v>0.0</v>
      </c>
      <c r="L65" s="7">
        <v>0.0</v>
      </c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>
      <c r="A66" s="10">
        <v>29.0</v>
      </c>
      <c r="B66" s="11" t="s">
        <v>15</v>
      </c>
      <c r="C66" s="12">
        <f t="shared" si="3"/>
        <v>0</v>
      </c>
      <c r="D66" s="13"/>
      <c r="E66" s="12">
        <v>0.0</v>
      </c>
      <c r="F66" s="12">
        <v>0.0</v>
      </c>
      <c r="G66" s="12">
        <v>0.0</v>
      </c>
      <c r="H66" s="12">
        <v>0.0</v>
      </c>
      <c r="I66" s="12">
        <v>0.0</v>
      </c>
      <c r="J66" s="12">
        <v>0.0</v>
      </c>
      <c r="K66" s="12">
        <v>0.0</v>
      </c>
      <c r="L66" s="12">
        <v>0.0</v>
      </c>
    </row>
    <row r="67">
      <c r="A67" s="10">
        <v>30.0</v>
      </c>
      <c r="B67" s="11" t="s">
        <v>47</v>
      </c>
      <c r="C67" s="12">
        <f t="shared" si="3"/>
        <v>0</v>
      </c>
      <c r="D67" s="18"/>
      <c r="E67" s="12">
        <v>0.0</v>
      </c>
      <c r="F67" s="12">
        <v>0.0</v>
      </c>
      <c r="G67" s="12">
        <v>0.0</v>
      </c>
      <c r="H67" s="12">
        <v>0.0</v>
      </c>
      <c r="I67" s="12">
        <v>0.0</v>
      </c>
      <c r="J67" s="12">
        <v>0.0</v>
      </c>
      <c r="K67" s="12">
        <v>0.0</v>
      </c>
      <c r="L67" s="12">
        <v>0.0</v>
      </c>
    </row>
    <row r="68">
      <c r="A68" s="30" t="s">
        <v>52</v>
      </c>
      <c r="B68" s="3"/>
      <c r="C68" s="20">
        <f>SUM(C38:C67)</f>
        <v>1922</v>
      </c>
      <c r="D68" s="21"/>
      <c r="E68" s="20">
        <f t="shared" ref="E68:L68" si="4">SUM(E38:E67)</f>
        <v>375</v>
      </c>
      <c r="F68" s="20">
        <f t="shared" si="4"/>
        <v>1208</v>
      </c>
      <c r="G68" s="20">
        <f t="shared" si="4"/>
        <v>90</v>
      </c>
      <c r="H68" s="20">
        <f t="shared" si="4"/>
        <v>0</v>
      </c>
      <c r="I68" s="20">
        <f t="shared" si="4"/>
        <v>249</v>
      </c>
      <c r="J68" s="20">
        <f t="shared" si="4"/>
        <v>0</v>
      </c>
      <c r="K68" s="20">
        <f t="shared" si="4"/>
        <v>0</v>
      </c>
      <c r="L68" s="20">
        <f t="shared" si="4"/>
        <v>0</v>
      </c>
    </row>
    <row r="69">
      <c r="A69" s="31" t="s">
        <v>53</v>
      </c>
      <c r="B69" s="2"/>
      <c r="C69" s="2"/>
      <c r="D69" s="32"/>
      <c r="E69" s="33">
        <f>C34+C68</f>
        <v>7050</v>
      </c>
      <c r="F69" s="34"/>
      <c r="G69" s="2"/>
      <c r="H69" s="2"/>
      <c r="I69" s="2"/>
      <c r="J69" s="2"/>
      <c r="K69" s="2"/>
      <c r="L69" s="3"/>
    </row>
    <row r="70">
      <c r="A70" s="23"/>
      <c r="B70" s="2"/>
      <c r="C70" s="2"/>
      <c r="D70" s="2"/>
      <c r="E70" s="2"/>
      <c r="F70" s="2"/>
      <c r="G70" s="2"/>
      <c r="H70" s="2"/>
      <c r="I70" s="2"/>
      <c r="J70" s="2"/>
      <c r="K70" s="2"/>
      <c r="L70" s="3"/>
    </row>
    <row r="71">
      <c r="A71" s="35" t="s">
        <v>54</v>
      </c>
      <c r="B71" s="2"/>
      <c r="C71" s="3"/>
      <c r="D71" s="36"/>
      <c r="E71" s="6" t="s">
        <v>55</v>
      </c>
      <c r="F71" s="2"/>
      <c r="G71" s="2"/>
      <c r="H71" s="2"/>
      <c r="I71" s="2"/>
      <c r="J71" s="2"/>
      <c r="K71" s="2"/>
      <c r="L71" s="3"/>
    </row>
    <row r="72">
      <c r="A72" s="7" t="s">
        <v>5</v>
      </c>
      <c r="B72" s="7" t="s">
        <v>56</v>
      </c>
      <c r="C72" s="7" t="s">
        <v>7</v>
      </c>
      <c r="D72" s="8"/>
      <c r="E72" s="9" t="s">
        <v>8</v>
      </c>
      <c r="F72" s="9" t="s">
        <v>9</v>
      </c>
      <c r="G72" s="9" t="s">
        <v>10</v>
      </c>
      <c r="H72" s="9" t="s">
        <v>11</v>
      </c>
      <c r="I72" s="9" t="s">
        <v>12</v>
      </c>
      <c r="J72" s="9" t="s">
        <v>13</v>
      </c>
      <c r="K72" s="9" t="s">
        <v>14</v>
      </c>
      <c r="L72" s="9" t="s">
        <v>15</v>
      </c>
    </row>
    <row r="73">
      <c r="A73" s="27">
        <v>1.0</v>
      </c>
      <c r="B73" s="17" t="s">
        <v>16</v>
      </c>
      <c r="C73" s="7">
        <f t="shared" ref="C73:C102" si="5">E73+F73+G73+H73+I73+J73+K73+L73</f>
        <v>18</v>
      </c>
      <c r="D73" s="13"/>
      <c r="E73" s="7">
        <v>9.0</v>
      </c>
      <c r="F73" s="7">
        <v>6.0</v>
      </c>
      <c r="G73" s="7">
        <v>0.0</v>
      </c>
      <c r="H73" s="7">
        <v>0.0</v>
      </c>
      <c r="I73" s="7">
        <v>3.0</v>
      </c>
      <c r="J73" s="7">
        <v>0.0</v>
      </c>
      <c r="K73" s="7">
        <v>0.0</v>
      </c>
      <c r="L73" s="7">
        <v>0.0</v>
      </c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>
      <c r="A74" s="10">
        <v>2.0</v>
      </c>
      <c r="B74" s="11" t="s">
        <v>17</v>
      </c>
      <c r="C74" s="12">
        <f t="shared" si="5"/>
        <v>0</v>
      </c>
      <c r="D74" s="13"/>
      <c r="E74" s="12">
        <v>0.0</v>
      </c>
      <c r="F74" s="12">
        <v>0.0</v>
      </c>
      <c r="G74" s="12">
        <v>0.0</v>
      </c>
      <c r="H74" s="12">
        <v>0.0</v>
      </c>
      <c r="I74" s="12">
        <v>0.0</v>
      </c>
      <c r="J74" s="12">
        <v>0.0</v>
      </c>
      <c r="K74" s="12">
        <v>0.0</v>
      </c>
      <c r="L74" s="12">
        <v>0.0</v>
      </c>
    </row>
    <row r="75">
      <c r="A75" s="10">
        <v>3.0</v>
      </c>
      <c r="B75" s="11" t="s">
        <v>18</v>
      </c>
      <c r="C75" s="12">
        <f t="shared" si="5"/>
        <v>0</v>
      </c>
      <c r="D75" s="13"/>
      <c r="E75" s="12">
        <v>0.0</v>
      </c>
      <c r="F75" s="12">
        <v>0.0</v>
      </c>
      <c r="G75" s="12">
        <v>0.0</v>
      </c>
      <c r="H75" s="12">
        <v>0.0</v>
      </c>
      <c r="I75" s="12">
        <v>0.0</v>
      </c>
      <c r="J75" s="12">
        <v>0.0</v>
      </c>
      <c r="K75" s="12">
        <v>0.0</v>
      </c>
      <c r="L75" s="12">
        <v>0.0</v>
      </c>
    </row>
    <row r="76">
      <c r="A76" s="10">
        <v>4.0</v>
      </c>
      <c r="B76" s="11" t="s">
        <v>19</v>
      </c>
      <c r="C76" s="12">
        <f t="shared" si="5"/>
        <v>10</v>
      </c>
      <c r="D76" s="13"/>
      <c r="E76" s="12">
        <v>0.0</v>
      </c>
      <c r="F76" s="12">
        <v>0.0</v>
      </c>
      <c r="G76" s="12">
        <v>0.0</v>
      </c>
      <c r="H76" s="12">
        <v>10.0</v>
      </c>
      <c r="I76" s="12">
        <v>0.0</v>
      </c>
      <c r="J76" s="12">
        <v>0.0</v>
      </c>
      <c r="K76" s="12">
        <v>0.0</v>
      </c>
      <c r="L76" s="12">
        <v>0.0</v>
      </c>
    </row>
    <row r="77">
      <c r="A77" s="27">
        <v>5.0</v>
      </c>
      <c r="B77" s="17" t="s">
        <v>20</v>
      </c>
      <c r="C77" s="7">
        <f t="shared" si="5"/>
        <v>42</v>
      </c>
      <c r="D77" s="13"/>
      <c r="E77" s="7">
        <v>41.0</v>
      </c>
      <c r="F77" s="7">
        <v>0.0</v>
      </c>
      <c r="G77" s="7">
        <v>0.0</v>
      </c>
      <c r="H77" s="7">
        <v>0.0</v>
      </c>
      <c r="I77" s="7">
        <v>1.0</v>
      </c>
      <c r="J77" s="7">
        <v>0.0</v>
      </c>
      <c r="K77" s="7">
        <v>0.0</v>
      </c>
      <c r="L77" s="7">
        <v>0.0</v>
      </c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>
      <c r="A78" s="27">
        <v>6.0</v>
      </c>
      <c r="B78" s="29" t="s">
        <v>21</v>
      </c>
      <c r="C78" s="7">
        <f t="shared" si="5"/>
        <v>0</v>
      </c>
      <c r="D78" s="13"/>
      <c r="E78" s="7">
        <v>0.0</v>
      </c>
      <c r="F78" s="7">
        <v>0.0</v>
      </c>
      <c r="G78" s="7">
        <v>0.0</v>
      </c>
      <c r="H78" s="7">
        <v>0.0</v>
      </c>
      <c r="I78" s="7">
        <v>0.0</v>
      </c>
      <c r="J78" s="7">
        <v>0.0</v>
      </c>
      <c r="K78" s="7">
        <v>0.0</v>
      </c>
      <c r="L78" s="7">
        <v>0.0</v>
      </c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>
      <c r="A79" s="10">
        <v>7.0</v>
      </c>
      <c r="B79" s="11" t="s">
        <v>23</v>
      </c>
      <c r="C79" s="12">
        <f t="shared" si="5"/>
        <v>0</v>
      </c>
      <c r="D79" s="13"/>
      <c r="E79" s="12">
        <v>0.0</v>
      </c>
      <c r="F79" s="12">
        <v>0.0</v>
      </c>
      <c r="G79" s="12">
        <v>0.0</v>
      </c>
      <c r="H79" s="12">
        <v>0.0</v>
      </c>
      <c r="I79" s="12">
        <v>0.0</v>
      </c>
      <c r="J79" s="12">
        <v>0.0</v>
      </c>
      <c r="K79" s="12">
        <v>0.0</v>
      </c>
      <c r="L79" s="12">
        <v>0.0</v>
      </c>
    </row>
    <row r="80">
      <c r="A80" s="10">
        <v>8.0</v>
      </c>
      <c r="B80" s="11" t="s">
        <v>25</v>
      </c>
      <c r="C80" s="12">
        <f t="shared" si="5"/>
        <v>0</v>
      </c>
      <c r="D80" s="13"/>
      <c r="E80" s="12">
        <v>0.0</v>
      </c>
      <c r="F80" s="12">
        <v>0.0</v>
      </c>
      <c r="G80" s="12">
        <v>0.0</v>
      </c>
      <c r="H80" s="12">
        <v>0.0</v>
      </c>
      <c r="I80" s="12">
        <v>0.0</v>
      </c>
      <c r="J80" s="12">
        <v>0.0</v>
      </c>
      <c r="K80" s="12">
        <v>0.0</v>
      </c>
      <c r="L80" s="12">
        <v>0.0</v>
      </c>
    </row>
    <row r="81">
      <c r="A81" s="10">
        <v>9.0</v>
      </c>
      <c r="B81" s="17" t="s">
        <v>26</v>
      </c>
      <c r="C81" s="7">
        <f t="shared" si="5"/>
        <v>1</v>
      </c>
      <c r="D81" s="13"/>
      <c r="E81" s="12">
        <v>0.0</v>
      </c>
      <c r="F81" s="7">
        <v>1.0</v>
      </c>
      <c r="G81" s="12">
        <v>0.0</v>
      </c>
      <c r="H81" s="12">
        <v>0.0</v>
      </c>
      <c r="I81" s="12">
        <v>0.0</v>
      </c>
      <c r="J81" s="12">
        <v>0.0</v>
      </c>
      <c r="K81" s="12">
        <v>0.0</v>
      </c>
      <c r="L81" s="12">
        <v>0.0</v>
      </c>
    </row>
    <row r="82">
      <c r="A82" s="10">
        <v>10.0</v>
      </c>
      <c r="B82" s="14" t="s">
        <v>27</v>
      </c>
      <c r="C82" s="12">
        <f t="shared" si="5"/>
        <v>0</v>
      </c>
      <c r="D82" s="13"/>
      <c r="E82" s="12">
        <v>0.0</v>
      </c>
      <c r="F82" s="12">
        <v>0.0</v>
      </c>
      <c r="G82" s="12">
        <v>0.0</v>
      </c>
      <c r="H82" s="12">
        <v>0.0</v>
      </c>
      <c r="I82" s="12">
        <v>0.0</v>
      </c>
      <c r="J82" s="12">
        <v>0.0</v>
      </c>
      <c r="K82" s="12">
        <v>0.0</v>
      </c>
      <c r="L82" s="12">
        <v>0.0</v>
      </c>
    </row>
    <row r="83">
      <c r="A83" s="10">
        <v>11.0</v>
      </c>
      <c r="B83" s="11" t="s">
        <v>28</v>
      </c>
      <c r="C83" s="12">
        <f t="shared" si="5"/>
        <v>0</v>
      </c>
      <c r="D83" s="13"/>
      <c r="E83" s="12">
        <v>0.0</v>
      </c>
      <c r="F83" s="12">
        <v>0.0</v>
      </c>
      <c r="G83" s="12">
        <v>0.0</v>
      </c>
      <c r="H83" s="12">
        <v>0.0</v>
      </c>
      <c r="I83" s="12">
        <v>0.0</v>
      </c>
      <c r="J83" s="12">
        <v>0.0</v>
      </c>
      <c r="K83" s="12">
        <v>0.0</v>
      </c>
      <c r="L83" s="12">
        <v>0.0</v>
      </c>
    </row>
    <row r="84">
      <c r="A84" s="27">
        <v>12.0</v>
      </c>
      <c r="B84" s="17" t="s">
        <v>29</v>
      </c>
      <c r="C84" s="7">
        <f t="shared" si="5"/>
        <v>0</v>
      </c>
      <c r="D84" s="13"/>
      <c r="E84" s="7">
        <v>0.0</v>
      </c>
      <c r="F84" s="7">
        <v>0.0</v>
      </c>
      <c r="G84" s="7">
        <v>0.0</v>
      </c>
      <c r="H84" s="7">
        <v>0.0</v>
      </c>
      <c r="I84" s="7">
        <v>0.0</v>
      </c>
      <c r="J84" s="7">
        <v>0.0</v>
      </c>
      <c r="K84" s="7">
        <v>0.0</v>
      </c>
      <c r="L84" s="7">
        <v>0.0</v>
      </c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>
      <c r="A85" s="27">
        <v>13.0</v>
      </c>
      <c r="B85" s="17" t="s">
        <v>30</v>
      </c>
      <c r="C85" s="7">
        <f t="shared" si="5"/>
        <v>79</v>
      </c>
      <c r="D85" s="13"/>
      <c r="E85" s="7">
        <v>0.0</v>
      </c>
      <c r="F85" s="7">
        <v>0.0</v>
      </c>
      <c r="G85" s="7">
        <v>79.0</v>
      </c>
      <c r="H85" s="7">
        <v>0.0</v>
      </c>
      <c r="I85" s="7">
        <v>0.0</v>
      </c>
      <c r="J85" s="7">
        <v>0.0</v>
      </c>
      <c r="K85" s="7">
        <v>0.0</v>
      </c>
      <c r="L85" s="7">
        <v>0.0</v>
      </c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>
      <c r="A86" s="10">
        <v>14.0</v>
      </c>
      <c r="B86" s="11" t="s">
        <v>31</v>
      </c>
      <c r="C86" s="12">
        <f t="shared" si="5"/>
        <v>0</v>
      </c>
      <c r="D86" s="13"/>
      <c r="E86" s="12">
        <v>0.0</v>
      </c>
      <c r="F86" s="12">
        <v>0.0</v>
      </c>
      <c r="G86" s="12">
        <v>0.0</v>
      </c>
      <c r="H86" s="12">
        <v>0.0</v>
      </c>
      <c r="I86" s="12">
        <v>0.0</v>
      </c>
      <c r="J86" s="12">
        <v>0.0</v>
      </c>
      <c r="K86" s="12">
        <v>0.0</v>
      </c>
      <c r="L86" s="12">
        <v>0.0</v>
      </c>
    </row>
    <row r="87">
      <c r="A87" s="10">
        <v>15.0</v>
      </c>
      <c r="B87" s="11" t="s">
        <v>32</v>
      </c>
      <c r="C87" s="12">
        <f t="shared" si="5"/>
        <v>0</v>
      </c>
      <c r="D87" s="13"/>
      <c r="E87" s="12">
        <v>0.0</v>
      </c>
      <c r="F87" s="12">
        <v>0.0</v>
      </c>
      <c r="G87" s="12">
        <v>0.0</v>
      </c>
      <c r="H87" s="12">
        <v>0.0</v>
      </c>
      <c r="I87" s="12">
        <v>0.0</v>
      </c>
      <c r="J87" s="12">
        <v>0.0</v>
      </c>
      <c r="K87" s="12">
        <v>0.0</v>
      </c>
      <c r="L87" s="12">
        <v>0.0</v>
      </c>
    </row>
    <row r="88">
      <c r="A88" s="10">
        <v>16.0</v>
      </c>
      <c r="B88" s="14" t="s">
        <v>33</v>
      </c>
      <c r="C88" s="12">
        <f t="shared" si="5"/>
        <v>0</v>
      </c>
      <c r="D88" s="13"/>
      <c r="E88" s="12">
        <v>0.0</v>
      </c>
      <c r="F88" s="12">
        <v>0.0</v>
      </c>
      <c r="G88" s="12">
        <v>0.0</v>
      </c>
      <c r="H88" s="12">
        <v>0.0</v>
      </c>
      <c r="I88" s="12">
        <v>0.0</v>
      </c>
      <c r="J88" s="12">
        <v>0.0</v>
      </c>
      <c r="K88" s="12">
        <v>0.0</v>
      </c>
      <c r="L88" s="12">
        <v>0.0</v>
      </c>
    </row>
    <row r="89">
      <c r="A89" s="27">
        <v>17.0</v>
      </c>
      <c r="B89" s="29" t="s">
        <v>34</v>
      </c>
      <c r="C89" s="7">
        <f t="shared" si="5"/>
        <v>53</v>
      </c>
      <c r="D89" s="13"/>
      <c r="E89" s="7">
        <v>0.0</v>
      </c>
      <c r="F89" s="7">
        <v>0.0</v>
      </c>
      <c r="G89" s="7">
        <v>37.0</v>
      </c>
      <c r="H89" s="7">
        <v>15.0</v>
      </c>
      <c r="I89" s="7">
        <v>1.0</v>
      </c>
      <c r="J89" s="7">
        <v>0.0</v>
      </c>
      <c r="K89" s="7">
        <v>0.0</v>
      </c>
      <c r="L89" s="7">
        <v>0.0</v>
      </c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>
      <c r="A90" s="10">
        <v>18.0</v>
      </c>
      <c r="B90" s="14" t="s">
        <v>35</v>
      </c>
      <c r="C90" s="12">
        <f t="shared" si="5"/>
        <v>0</v>
      </c>
      <c r="D90" s="13"/>
      <c r="E90" s="12">
        <v>0.0</v>
      </c>
      <c r="F90" s="12">
        <v>0.0</v>
      </c>
      <c r="G90" s="12">
        <v>0.0</v>
      </c>
      <c r="H90" s="12">
        <v>0.0</v>
      </c>
      <c r="I90" s="12">
        <v>0.0</v>
      </c>
      <c r="J90" s="12">
        <v>0.0</v>
      </c>
      <c r="K90" s="12">
        <v>0.0</v>
      </c>
      <c r="L90" s="12">
        <v>0.0</v>
      </c>
    </row>
    <row r="91">
      <c r="A91" s="37">
        <v>19.0</v>
      </c>
      <c r="B91" s="17" t="s">
        <v>36</v>
      </c>
      <c r="C91" s="7">
        <f t="shared" si="5"/>
        <v>31</v>
      </c>
      <c r="D91" s="13"/>
      <c r="E91" s="7">
        <v>0.0</v>
      </c>
      <c r="F91" s="7">
        <v>31.0</v>
      </c>
      <c r="G91" s="7">
        <v>0.0</v>
      </c>
      <c r="H91" s="7">
        <v>0.0</v>
      </c>
      <c r="I91" s="7">
        <v>0.0</v>
      </c>
      <c r="J91" s="7">
        <v>0.0</v>
      </c>
      <c r="K91" s="7">
        <v>0.0</v>
      </c>
      <c r="L91" s="7">
        <v>0.0</v>
      </c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>
      <c r="A92" s="16">
        <v>20.0</v>
      </c>
      <c r="B92" s="14" t="s">
        <v>37</v>
      </c>
      <c r="C92" s="12">
        <f t="shared" si="5"/>
        <v>0</v>
      </c>
      <c r="D92" s="13"/>
      <c r="E92" s="12">
        <v>0.0</v>
      </c>
      <c r="F92" s="12">
        <v>0.0</v>
      </c>
      <c r="G92" s="12">
        <v>0.0</v>
      </c>
      <c r="H92" s="12">
        <v>0.0</v>
      </c>
      <c r="I92" s="12">
        <v>0.0</v>
      </c>
      <c r="J92" s="12">
        <v>0.0</v>
      </c>
      <c r="K92" s="12">
        <v>0.0</v>
      </c>
      <c r="L92" s="12">
        <v>0.0</v>
      </c>
    </row>
    <row r="93">
      <c r="A93" s="10">
        <v>21.0</v>
      </c>
      <c r="B93" s="11" t="s">
        <v>38</v>
      </c>
      <c r="C93" s="12">
        <f t="shared" si="5"/>
        <v>0</v>
      </c>
      <c r="D93" s="13"/>
      <c r="E93" s="12">
        <v>0.0</v>
      </c>
      <c r="F93" s="12">
        <v>0.0</v>
      </c>
      <c r="G93" s="12">
        <v>0.0</v>
      </c>
      <c r="H93" s="12">
        <v>0.0</v>
      </c>
      <c r="I93" s="12">
        <v>0.0</v>
      </c>
      <c r="J93" s="12">
        <v>0.0</v>
      </c>
      <c r="K93" s="12">
        <v>0.0</v>
      </c>
      <c r="L93" s="12">
        <v>0.0</v>
      </c>
    </row>
    <row r="94">
      <c r="A94" s="10">
        <v>22.0</v>
      </c>
      <c r="B94" s="11" t="s">
        <v>39</v>
      </c>
      <c r="C94" s="12">
        <f t="shared" si="5"/>
        <v>0</v>
      </c>
      <c r="D94" s="13"/>
      <c r="E94" s="12">
        <v>0.0</v>
      </c>
      <c r="F94" s="12">
        <v>0.0</v>
      </c>
      <c r="G94" s="12">
        <v>0.0</v>
      </c>
      <c r="H94" s="12">
        <v>0.0</v>
      </c>
      <c r="I94" s="12">
        <v>0.0</v>
      </c>
      <c r="J94" s="12">
        <v>0.0</v>
      </c>
      <c r="K94" s="12">
        <v>0.0</v>
      </c>
      <c r="L94" s="12">
        <v>0.0</v>
      </c>
    </row>
    <row r="95">
      <c r="A95" s="27">
        <v>23.0</v>
      </c>
      <c r="B95" s="29" t="s">
        <v>40</v>
      </c>
      <c r="C95" s="7">
        <f t="shared" si="5"/>
        <v>10</v>
      </c>
      <c r="D95" s="13"/>
      <c r="E95" s="7">
        <v>1.0</v>
      </c>
      <c r="F95" s="7">
        <v>9.0</v>
      </c>
      <c r="G95" s="7">
        <v>0.0</v>
      </c>
      <c r="H95" s="7">
        <v>0.0</v>
      </c>
      <c r="I95" s="7">
        <v>0.0</v>
      </c>
      <c r="J95" s="7">
        <v>0.0</v>
      </c>
      <c r="K95" s="7">
        <v>0.0</v>
      </c>
      <c r="L95" s="7">
        <v>0.0</v>
      </c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>
      <c r="A96" s="27">
        <v>24.0</v>
      </c>
      <c r="B96" s="29" t="s">
        <v>58</v>
      </c>
      <c r="C96" s="7">
        <f t="shared" si="5"/>
        <v>4</v>
      </c>
      <c r="D96" s="13"/>
      <c r="E96" s="7">
        <v>0.0</v>
      </c>
      <c r="F96" s="7">
        <v>4.0</v>
      </c>
      <c r="G96" s="7">
        <v>0.0</v>
      </c>
      <c r="H96" s="7">
        <v>0.0</v>
      </c>
      <c r="I96" s="7">
        <v>0.0</v>
      </c>
      <c r="J96" s="7">
        <v>0.0</v>
      </c>
      <c r="K96" s="7">
        <v>0.0</v>
      </c>
      <c r="L96" s="7">
        <v>0.0</v>
      </c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>
      <c r="A97" s="10">
        <v>25.0</v>
      </c>
      <c r="B97" s="14" t="s">
        <v>43</v>
      </c>
      <c r="C97" s="12">
        <f t="shared" si="5"/>
        <v>0</v>
      </c>
      <c r="D97" s="13"/>
      <c r="E97" s="12">
        <v>0.0</v>
      </c>
      <c r="F97" s="12">
        <v>0.0</v>
      </c>
      <c r="G97" s="12">
        <v>0.0</v>
      </c>
      <c r="H97" s="12">
        <v>0.0</v>
      </c>
      <c r="I97" s="12">
        <v>0.0</v>
      </c>
      <c r="J97" s="12">
        <v>0.0</v>
      </c>
      <c r="K97" s="12">
        <v>0.0</v>
      </c>
      <c r="L97" s="12">
        <v>0.0</v>
      </c>
    </row>
    <row r="98">
      <c r="A98" s="27">
        <v>26.0</v>
      </c>
      <c r="B98" s="17" t="s">
        <v>44</v>
      </c>
      <c r="C98" s="7">
        <f t="shared" si="5"/>
        <v>11</v>
      </c>
      <c r="D98" s="13"/>
      <c r="E98" s="7">
        <v>0.0</v>
      </c>
      <c r="F98" s="7">
        <v>1.0</v>
      </c>
      <c r="G98" s="7">
        <v>0.0</v>
      </c>
      <c r="H98" s="7">
        <v>10.0</v>
      </c>
      <c r="I98" s="7">
        <v>0.0</v>
      </c>
      <c r="J98" s="7">
        <v>0.0</v>
      </c>
      <c r="K98" s="7">
        <v>0.0</v>
      </c>
      <c r="L98" s="7">
        <v>0.0</v>
      </c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>
      <c r="A99" s="10">
        <v>27.0</v>
      </c>
      <c r="B99" s="11" t="s">
        <v>45</v>
      </c>
      <c r="C99" s="12">
        <f t="shared" si="5"/>
        <v>0</v>
      </c>
      <c r="D99" s="13"/>
      <c r="E99" s="12">
        <v>0.0</v>
      </c>
      <c r="F99" s="12">
        <v>0.0</v>
      </c>
      <c r="G99" s="12">
        <v>0.0</v>
      </c>
      <c r="H99" s="12">
        <v>0.0</v>
      </c>
      <c r="I99" s="12">
        <v>0.0</v>
      </c>
      <c r="J99" s="12">
        <v>0.0</v>
      </c>
      <c r="K99" s="12">
        <v>0.0</v>
      </c>
      <c r="L99" s="12">
        <v>0.0</v>
      </c>
    </row>
    <row r="100">
      <c r="A100" s="10">
        <v>28.0</v>
      </c>
      <c r="B100" s="17" t="s">
        <v>46</v>
      </c>
      <c r="C100" s="12">
        <f t="shared" si="5"/>
        <v>0</v>
      </c>
      <c r="D100" s="13"/>
      <c r="E100" s="12">
        <v>0.0</v>
      </c>
      <c r="F100" s="12">
        <v>0.0</v>
      </c>
      <c r="G100" s="12">
        <v>0.0</v>
      </c>
      <c r="H100" s="12">
        <v>0.0</v>
      </c>
      <c r="I100" s="12">
        <v>0.0</v>
      </c>
      <c r="J100" s="12">
        <v>0.0</v>
      </c>
      <c r="K100" s="12">
        <v>0.0</v>
      </c>
      <c r="L100" s="12">
        <v>0.0</v>
      </c>
    </row>
    <row r="101">
      <c r="A101" s="10">
        <v>29.0</v>
      </c>
      <c r="B101" s="11" t="s">
        <v>15</v>
      </c>
      <c r="C101" s="12">
        <f t="shared" si="5"/>
        <v>0</v>
      </c>
      <c r="D101" s="13"/>
      <c r="E101" s="12">
        <v>0.0</v>
      </c>
      <c r="F101" s="12">
        <v>0.0</v>
      </c>
      <c r="G101" s="12">
        <v>0.0</v>
      </c>
      <c r="H101" s="12">
        <v>0.0</v>
      </c>
      <c r="I101" s="12">
        <v>0.0</v>
      </c>
      <c r="J101" s="12">
        <v>0.0</v>
      </c>
      <c r="K101" s="12">
        <v>0.0</v>
      </c>
      <c r="L101" s="12">
        <v>0.0</v>
      </c>
    </row>
    <row r="102">
      <c r="A102" s="10">
        <v>30.0</v>
      </c>
      <c r="B102" s="11" t="s">
        <v>47</v>
      </c>
      <c r="C102" s="12">
        <f t="shared" si="5"/>
        <v>0</v>
      </c>
      <c r="D102" s="18"/>
      <c r="E102" s="12">
        <v>0.0</v>
      </c>
      <c r="F102" s="12">
        <v>0.0</v>
      </c>
      <c r="G102" s="12">
        <v>0.0</v>
      </c>
      <c r="H102" s="12">
        <v>0.0</v>
      </c>
      <c r="I102" s="12">
        <v>0.0</v>
      </c>
      <c r="J102" s="12">
        <v>0.0</v>
      </c>
      <c r="K102" s="12">
        <v>0.0</v>
      </c>
      <c r="L102" s="12">
        <v>0.0</v>
      </c>
    </row>
    <row r="103">
      <c r="A103" s="19" t="s">
        <v>59</v>
      </c>
      <c r="B103" s="3"/>
      <c r="C103" s="20">
        <f>SUM(C73:C102)</f>
        <v>259</v>
      </c>
      <c r="D103" s="38"/>
      <c r="E103" s="20">
        <f t="shared" ref="E103:L103" si="6">SUM(E73:E102)</f>
        <v>51</v>
      </c>
      <c r="F103" s="20">
        <f t="shared" si="6"/>
        <v>52</v>
      </c>
      <c r="G103" s="20">
        <f t="shared" si="6"/>
        <v>116</v>
      </c>
      <c r="H103" s="20">
        <f t="shared" si="6"/>
        <v>35</v>
      </c>
      <c r="I103" s="20">
        <f t="shared" si="6"/>
        <v>5</v>
      </c>
      <c r="J103" s="20">
        <f t="shared" si="6"/>
        <v>0</v>
      </c>
      <c r="K103" s="20">
        <f t="shared" si="6"/>
        <v>0</v>
      </c>
      <c r="L103" s="20">
        <f t="shared" si="6"/>
        <v>0</v>
      </c>
    </row>
    <row r="104">
      <c r="A104" s="2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3"/>
    </row>
    <row r="105">
      <c r="A105" s="39" t="s">
        <v>60</v>
      </c>
      <c r="B105" s="2"/>
      <c r="C105" s="3"/>
      <c r="D105" s="40"/>
      <c r="E105" s="26" t="s">
        <v>61</v>
      </c>
      <c r="F105" s="2"/>
      <c r="G105" s="2"/>
      <c r="H105" s="2"/>
      <c r="I105" s="2"/>
      <c r="J105" s="2"/>
      <c r="K105" s="2"/>
      <c r="L105" s="3"/>
    </row>
    <row r="106">
      <c r="A106" s="7" t="s">
        <v>5</v>
      </c>
      <c r="B106" s="7" t="s">
        <v>62</v>
      </c>
      <c r="C106" s="7" t="s">
        <v>7</v>
      </c>
      <c r="D106" s="8"/>
      <c r="E106" s="9" t="s">
        <v>8</v>
      </c>
      <c r="F106" s="9" t="s">
        <v>9</v>
      </c>
      <c r="G106" s="9" t="s">
        <v>10</v>
      </c>
      <c r="H106" s="9" t="s">
        <v>11</v>
      </c>
      <c r="I106" s="9" t="s">
        <v>12</v>
      </c>
      <c r="J106" s="9" t="s">
        <v>13</v>
      </c>
      <c r="K106" s="9" t="s">
        <v>14</v>
      </c>
      <c r="L106" s="9" t="s">
        <v>15</v>
      </c>
    </row>
    <row r="107">
      <c r="A107" s="27">
        <v>1.0</v>
      </c>
      <c r="B107" s="17" t="s">
        <v>16</v>
      </c>
      <c r="C107" s="7">
        <f t="shared" ref="C107:C136" si="7">E107+F107+G107+H107+I107+J107+K107+L107</f>
        <v>25</v>
      </c>
      <c r="D107" s="13"/>
      <c r="E107" s="7">
        <v>0.0</v>
      </c>
      <c r="F107" s="7">
        <v>0.0</v>
      </c>
      <c r="G107" s="7">
        <v>0.0</v>
      </c>
      <c r="H107" s="7">
        <v>0.0</v>
      </c>
      <c r="I107" s="7">
        <v>25.0</v>
      </c>
      <c r="J107" s="7">
        <v>0.0</v>
      </c>
      <c r="K107" s="7">
        <v>0.0</v>
      </c>
      <c r="L107" s="7">
        <v>0.0</v>
      </c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>
      <c r="A108" s="10">
        <v>2.0</v>
      </c>
      <c r="B108" s="11" t="s">
        <v>17</v>
      </c>
      <c r="C108" s="12">
        <f t="shared" si="7"/>
        <v>0</v>
      </c>
      <c r="D108" s="13"/>
      <c r="E108" s="12">
        <v>0.0</v>
      </c>
      <c r="F108" s="12">
        <v>0.0</v>
      </c>
      <c r="G108" s="12">
        <v>0.0</v>
      </c>
      <c r="H108" s="12">
        <v>0.0</v>
      </c>
      <c r="I108" s="12">
        <v>0.0</v>
      </c>
      <c r="J108" s="12">
        <v>0.0</v>
      </c>
      <c r="K108" s="12">
        <v>0.0</v>
      </c>
      <c r="L108" s="12">
        <v>0.0</v>
      </c>
    </row>
    <row r="109">
      <c r="A109" s="10">
        <v>3.0</v>
      </c>
      <c r="B109" s="11" t="s">
        <v>18</v>
      </c>
      <c r="C109" s="12">
        <f t="shared" si="7"/>
        <v>0</v>
      </c>
      <c r="D109" s="13"/>
      <c r="E109" s="12">
        <v>0.0</v>
      </c>
      <c r="F109" s="12">
        <v>0.0</v>
      </c>
      <c r="G109" s="12">
        <v>0.0</v>
      </c>
      <c r="H109" s="12">
        <v>0.0</v>
      </c>
      <c r="I109" s="12">
        <v>0.0</v>
      </c>
      <c r="J109" s="12">
        <v>0.0</v>
      </c>
      <c r="K109" s="12">
        <v>0.0</v>
      </c>
      <c r="L109" s="12">
        <v>0.0</v>
      </c>
    </row>
    <row r="110">
      <c r="A110" s="10">
        <v>4.0</v>
      </c>
      <c r="B110" s="11" t="s">
        <v>19</v>
      </c>
      <c r="C110" s="12">
        <f t="shared" si="7"/>
        <v>0</v>
      </c>
      <c r="D110" s="13"/>
      <c r="E110" s="12">
        <v>0.0</v>
      </c>
      <c r="F110" s="12">
        <v>0.0</v>
      </c>
      <c r="G110" s="12">
        <v>0.0</v>
      </c>
      <c r="H110" s="12">
        <v>0.0</v>
      </c>
      <c r="I110" s="12">
        <v>0.0</v>
      </c>
      <c r="J110" s="12">
        <v>0.0</v>
      </c>
      <c r="K110" s="12">
        <v>0.0</v>
      </c>
      <c r="L110" s="12">
        <v>0.0</v>
      </c>
    </row>
    <row r="111">
      <c r="A111" s="27">
        <v>5.0</v>
      </c>
      <c r="B111" s="17" t="s">
        <v>20</v>
      </c>
      <c r="C111" s="7">
        <f t="shared" si="7"/>
        <v>0</v>
      </c>
      <c r="D111" s="13"/>
      <c r="E111" s="7">
        <v>0.0</v>
      </c>
      <c r="F111" s="7">
        <v>0.0</v>
      </c>
      <c r="G111" s="7">
        <v>0.0</v>
      </c>
      <c r="H111" s="7">
        <v>0.0</v>
      </c>
      <c r="I111" s="7">
        <v>0.0</v>
      </c>
      <c r="J111" s="7">
        <v>0.0</v>
      </c>
      <c r="K111" s="7">
        <v>0.0</v>
      </c>
      <c r="L111" s="7">
        <v>0.0</v>
      </c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>
      <c r="A112" s="10">
        <v>6.0</v>
      </c>
      <c r="B112" s="14" t="s">
        <v>21</v>
      </c>
      <c r="C112" s="12">
        <f t="shared" si="7"/>
        <v>0</v>
      </c>
      <c r="D112" s="13"/>
      <c r="E112" s="12">
        <v>0.0</v>
      </c>
      <c r="F112" s="12">
        <v>0.0</v>
      </c>
      <c r="G112" s="12">
        <v>0.0</v>
      </c>
      <c r="H112" s="12">
        <v>0.0</v>
      </c>
      <c r="I112" s="12">
        <v>0.0</v>
      </c>
      <c r="J112" s="12">
        <v>0.0</v>
      </c>
      <c r="K112" s="12">
        <v>0.0</v>
      </c>
      <c r="L112" s="12">
        <v>0.0</v>
      </c>
    </row>
    <row r="113">
      <c r="A113" s="10">
        <v>7.0</v>
      </c>
      <c r="B113" s="11" t="s">
        <v>23</v>
      </c>
      <c r="C113" s="12">
        <f t="shared" si="7"/>
        <v>0</v>
      </c>
      <c r="D113" s="13"/>
      <c r="E113" s="12">
        <v>0.0</v>
      </c>
      <c r="F113" s="12">
        <v>0.0</v>
      </c>
      <c r="G113" s="12">
        <v>0.0</v>
      </c>
      <c r="H113" s="12">
        <v>0.0</v>
      </c>
      <c r="I113" s="12">
        <v>0.0</v>
      </c>
      <c r="J113" s="12">
        <v>0.0</v>
      </c>
      <c r="K113" s="12">
        <v>0.0</v>
      </c>
      <c r="L113" s="12">
        <v>0.0</v>
      </c>
    </row>
    <row r="114">
      <c r="A114" s="10">
        <v>8.0</v>
      </c>
      <c r="B114" s="11" t="s">
        <v>25</v>
      </c>
      <c r="C114" s="12">
        <f t="shared" si="7"/>
        <v>0</v>
      </c>
      <c r="D114" s="13"/>
      <c r="E114" s="12">
        <v>0.0</v>
      </c>
      <c r="F114" s="12">
        <v>0.0</v>
      </c>
      <c r="G114" s="12">
        <v>0.0</v>
      </c>
      <c r="H114" s="12">
        <v>0.0</v>
      </c>
      <c r="I114" s="12">
        <v>0.0</v>
      </c>
      <c r="J114" s="12">
        <v>0.0</v>
      </c>
      <c r="K114" s="12">
        <v>0.0</v>
      </c>
      <c r="L114" s="12">
        <v>0.0</v>
      </c>
    </row>
    <row r="115">
      <c r="A115" s="10">
        <v>9.0</v>
      </c>
      <c r="B115" s="11" t="s">
        <v>26</v>
      </c>
      <c r="C115" s="12">
        <f t="shared" si="7"/>
        <v>0</v>
      </c>
      <c r="D115" s="13"/>
      <c r="E115" s="12">
        <v>0.0</v>
      </c>
      <c r="F115" s="12">
        <v>0.0</v>
      </c>
      <c r="G115" s="12">
        <v>0.0</v>
      </c>
      <c r="H115" s="12">
        <v>0.0</v>
      </c>
      <c r="I115" s="12">
        <v>0.0</v>
      </c>
      <c r="J115" s="12">
        <v>0.0</v>
      </c>
      <c r="K115" s="12">
        <v>0.0</v>
      </c>
      <c r="L115" s="12">
        <v>0.0</v>
      </c>
    </row>
    <row r="116">
      <c r="A116" s="10">
        <v>10.0</v>
      </c>
      <c r="B116" s="14" t="s">
        <v>27</v>
      </c>
      <c r="C116" s="12">
        <f t="shared" si="7"/>
        <v>0</v>
      </c>
      <c r="D116" s="13"/>
      <c r="E116" s="12">
        <v>0.0</v>
      </c>
      <c r="F116" s="12">
        <v>0.0</v>
      </c>
      <c r="G116" s="12">
        <v>0.0</v>
      </c>
      <c r="H116" s="12">
        <v>0.0</v>
      </c>
      <c r="I116" s="12">
        <v>0.0</v>
      </c>
      <c r="J116" s="12">
        <v>0.0</v>
      </c>
      <c r="K116" s="12">
        <v>0.0</v>
      </c>
      <c r="L116" s="12">
        <v>0.0</v>
      </c>
    </row>
    <row r="117">
      <c r="A117" s="10">
        <v>11.0</v>
      </c>
      <c r="B117" s="11" t="s">
        <v>28</v>
      </c>
      <c r="C117" s="12">
        <f t="shared" si="7"/>
        <v>0</v>
      </c>
      <c r="D117" s="13"/>
      <c r="E117" s="12">
        <v>0.0</v>
      </c>
      <c r="F117" s="12">
        <v>0.0</v>
      </c>
      <c r="G117" s="12">
        <v>0.0</v>
      </c>
      <c r="H117" s="12">
        <v>0.0</v>
      </c>
      <c r="I117" s="12">
        <v>0.0</v>
      </c>
      <c r="J117" s="12">
        <v>0.0</v>
      </c>
      <c r="K117" s="12">
        <v>0.0</v>
      </c>
      <c r="L117" s="12">
        <v>0.0</v>
      </c>
    </row>
    <row r="118">
      <c r="A118" s="10">
        <v>12.0</v>
      </c>
      <c r="B118" s="17" t="s">
        <v>29</v>
      </c>
      <c r="C118" s="12">
        <f t="shared" si="7"/>
        <v>4</v>
      </c>
      <c r="D118" s="13"/>
      <c r="E118" s="12">
        <v>0.0</v>
      </c>
      <c r="F118" s="12">
        <v>4.0</v>
      </c>
      <c r="G118" s="12">
        <v>0.0</v>
      </c>
      <c r="H118" s="12">
        <v>0.0</v>
      </c>
      <c r="I118" s="12">
        <v>0.0</v>
      </c>
      <c r="J118" s="12">
        <v>0.0</v>
      </c>
      <c r="K118" s="12">
        <v>0.0</v>
      </c>
      <c r="L118" s="12">
        <v>0.0</v>
      </c>
    </row>
    <row r="119">
      <c r="A119" s="10">
        <v>13.0</v>
      </c>
      <c r="B119" s="11" t="s">
        <v>30</v>
      </c>
      <c r="C119" s="12">
        <f t="shared" si="7"/>
        <v>0</v>
      </c>
      <c r="D119" s="13"/>
      <c r="E119" s="12">
        <v>0.0</v>
      </c>
      <c r="F119" s="12">
        <v>0.0</v>
      </c>
      <c r="G119" s="12">
        <v>0.0</v>
      </c>
      <c r="H119" s="12">
        <v>0.0</v>
      </c>
      <c r="I119" s="12">
        <v>0.0</v>
      </c>
      <c r="J119" s="12">
        <v>0.0</v>
      </c>
      <c r="K119" s="12">
        <v>0.0</v>
      </c>
      <c r="L119" s="12">
        <v>0.0</v>
      </c>
    </row>
    <row r="120">
      <c r="A120" s="10">
        <v>14.0</v>
      </c>
      <c r="B120" s="11" t="s">
        <v>31</v>
      </c>
      <c r="C120" s="12">
        <f t="shared" si="7"/>
        <v>0</v>
      </c>
      <c r="D120" s="13"/>
      <c r="E120" s="12">
        <v>0.0</v>
      </c>
      <c r="F120" s="12">
        <v>0.0</v>
      </c>
      <c r="G120" s="12">
        <v>0.0</v>
      </c>
      <c r="H120" s="12">
        <v>0.0</v>
      </c>
      <c r="I120" s="12">
        <v>0.0</v>
      </c>
      <c r="J120" s="12">
        <v>0.0</v>
      </c>
      <c r="K120" s="12">
        <v>0.0</v>
      </c>
      <c r="L120" s="12">
        <v>0.0</v>
      </c>
    </row>
    <row r="121">
      <c r="A121" s="10">
        <v>15.0</v>
      </c>
      <c r="B121" s="11" t="s">
        <v>32</v>
      </c>
      <c r="C121" s="12">
        <f t="shared" si="7"/>
        <v>0</v>
      </c>
      <c r="D121" s="13"/>
      <c r="E121" s="12">
        <v>0.0</v>
      </c>
      <c r="F121" s="12">
        <v>0.0</v>
      </c>
      <c r="G121" s="12">
        <v>0.0</v>
      </c>
      <c r="H121" s="12">
        <v>0.0</v>
      </c>
      <c r="I121" s="12">
        <v>0.0</v>
      </c>
      <c r="J121" s="12">
        <v>0.0</v>
      </c>
      <c r="K121" s="12">
        <v>0.0</v>
      </c>
      <c r="L121" s="12">
        <v>0.0</v>
      </c>
    </row>
    <row r="122">
      <c r="A122" s="10">
        <v>16.0</v>
      </c>
      <c r="B122" s="14" t="s">
        <v>33</v>
      </c>
      <c r="C122" s="12">
        <f t="shared" si="7"/>
        <v>0</v>
      </c>
      <c r="D122" s="13"/>
      <c r="E122" s="12">
        <v>0.0</v>
      </c>
      <c r="F122" s="12">
        <v>0.0</v>
      </c>
      <c r="G122" s="12">
        <v>0.0</v>
      </c>
      <c r="H122" s="12">
        <v>0.0</v>
      </c>
      <c r="I122" s="12">
        <v>0.0</v>
      </c>
      <c r="J122" s="12">
        <v>0.0</v>
      </c>
      <c r="K122" s="12">
        <v>0.0</v>
      </c>
      <c r="L122" s="12">
        <v>0.0</v>
      </c>
    </row>
    <row r="123">
      <c r="A123" s="27">
        <v>17.0</v>
      </c>
      <c r="B123" s="29" t="s">
        <v>34</v>
      </c>
      <c r="C123" s="7">
        <f t="shared" si="7"/>
        <v>131</v>
      </c>
      <c r="D123" s="13"/>
      <c r="E123" s="7">
        <v>0.0</v>
      </c>
      <c r="F123" s="7">
        <v>131.0</v>
      </c>
      <c r="G123" s="7">
        <v>0.0</v>
      </c>
      <c r="H123" s="7">
        <v>0.0</v>
      </c>
      <c r="I123" s="7">
        <v>0.0</v>
      </c>
      <c r="J123" s="7">
        <v>0.0</v>
      </c>
      <c r="K123" s="7">
        <v>0.0</v>
      </c>
      <c r="L123" s="7">
        <v>0.0</v>
      </c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>
      <c r="A124" s="10">
        <v>18.0</v>
      </c>
      <c r="B124" s="14" t="s">
        <v>35</v>
      </c>
      <c r="C124" s="12">
        <f t="shared" si="7"/>
        <v>0</v>
      </c>
      <c r="D124" s="13"/>
      <c r="E124" s="12">
        <v>0.0</v>
      </c>
      <c r="F124" s="12">
        <v>0.0</v>
      </c>
      <c r="G124" s="12">
        <v>0.0</v>
      </c>
      <c r="H124" s="12">
        <v>0.0</v>
      </c>
      <c r="I124" s="12">
        <v>0.0</v>
      </c>
      <c r="J124" s="12">
        <v>0.0</v>
      </c>
      <c r="K124" s="12">
        <v>0.0</v>
      </c>
      <c r="L124" s="12">
        <v>0.0</v>
      </c>
    </row>
    <row r="125">
      <c r="A125" s="16">
        <v>19.0</v>
      </c>
      <c r="B125" s="11" t="s">
        <v>36</v>
      </c>
      <c r="C125" s="12">
        <f t="shared" si="7"/>
        <v>0</v>
      </c>
      <c r="D125" s="13"/>
      <c r="E125" s="12">
        <v>0.0</v>
      </c>
      <c r="F125" s="12">
        <v>0.0</v>
      </c>
      <c r="G125" s="12">
        <v>0.0</v>
      </c>
      <c r="H125" s="12">
        <v>0.0</v>
      </c>
      <c r="I125" s="12">
        <v>0.0</v>
      </c>
      <c r="J125" s="12">
        <v>0.0</v>
      </c>
      <c r="K125" s="12">
        <v>0.0</v>
      </c>
      <c r="L125" s="12">
        <v>0.0</v>
      </c>
    </row>
    <row r="126">
      <c r="A126" s="16">
        <v>20.0</v>
      </c>
      <c r="B126" s="14" t="s">
        <v>37</v>
      </c>
      <c r="C126" s="12">
        <f t="shared" si="7"/>
        <v>0</v>
      </c>
      <c r="D126" s="13"/>
      <c r="E126" s="12">
        <v>0.0</v>
      </c>
      <c r="F126" s="12">
        <v>0.0</v>
      </c>
      <c r="G126" s="12">
        <v>0.0</v>
      </c>
      <c r="H126" s="12">
        <v>0.0</v>
      </c>
      <c r="I126" s="12">
        <v>0.0</v>
      </c>
      <c r="J126" s="12">
        <v>0.0</v>
      </c>
      <c r="K126" s="12">
        <v>0.0</v>
      </c>
      <c r="L126" s="12">
        <v>0.0</v>
      </c>
    </row>
    <row r="127">
      <c r="A127" s="10">
        <v>21.0</v>
      </c>
      <c r="B127" s="11" t="s">
        <v>38</v>
      </c>
      <c r="C127" s="12">
        <f t="shared" si="7"/>
        <v>0</v>
      </c>
      <c r="D127" s="13"/>
      <c r="E127" s="12">
        <v>0.0</v>
      </c>
      <c r="F127" s="12">
        <v>0.0</v>
      </c>
      <c r="G127" s="12">
        <v>0.0</v>
      </c>
      <c r="H127" s="12">
        <v>0.0</v>
      </c>
      <c r="I127" s="12">
        <v>0.0</v>
      </c>
      <c r="J127" s="12">
        <v>0.0</v>
      </c>
      <c r="K127" s="12">
        <v>0.0</v>
      </c>
      <c r="L127" s="12">
        <v>0.0</v>
      </c>
    </row>
    <row r="128">
      <c r="A128" s="10">
        <v>22.0</v>
      </c>
      <c r="B128" s="11" t="s">
        <v>39</v>
      </c>
      <c r="C128" s="12">
        <f t="shared" si="7"/>
        <v>0</v>
      </c>
      <c r="D128" s="13"/>
      <c r="E128" s="12">
        <v>0.0</v>
      </c>
      <c r="F128" s="12">
        <v>0.0</v>
      </c>
      <c r="G128" s="12">
        <v>0.0</v>
      </c>
      <c r="H128" s="12">
        <v>0.0</v>
      </c>
      <c r="I128" s="12">
        <v>0.0</v>
      </c>
      <c r="J128" s="12">
        <v>0.0</v>
      </c>
      <c r="K128" s="12">
        <v>0.0</v>
      </c>
      <c r="L128" s="12">
        <v>0.0</v>
      </c>
    </row>
    <row r="129">
      <c r="A129" s="10">
        <v>23.0</v>
      </c>
      <c r="B129" s="14" t="s">
        <v>40</v>
      </c>
      <c r="C129" s="12">
        <f t="shared" si="7"/>
        <v>0</v>
      </c>
      <c r="D129" s="13"/>
      <c r="E129" s="12">
        <v>0.0</v>
      </c>
      <c r="F129" s="12">
        <v>0.0</v>
      </c>
      <c r="G129" s="12">
        <v>0.0</v>
      </c>
      <c r="H129" s="12">
        <v>0.0</v>
      </c>
      <c r="I129" s="12">
        <v>0.0</v>
      </c>
      <c r="J129" s="12">
        <v>0.0</v>
      </c>
      <c r="K129" s="12">
        <v>0.0</v>
      </c>
      <c r="L129" s="12">
        <v>0.0</v>
      </c>
    </row>
    <row r="130">
      <c r="A130" s="10">
        <v>24.0</v>
      </c>
      <c r="B130" s="14" t="s">
        <v>42</v>
      </c>
      <c r="C130" s="12">
        <f t="shared" si="7"/>
        <v>0</v>
      </c>
      <c r="D130" s="13"/>
      <c r="E130" s="12">
        <v>0.0</v>
      </c>
      <c r="F130" s="12">
        <v>0.0</v>
      </c>
      <c r="G130" s="12">
        <v>0.0</v>
      </c>
      <c r="H130" s="12">
        <v>0.0</v>
      </c>
      <c r="I130" s="12">
        <v>0.0</v>
      </c>
      <c r="J130" s="12">
        <v>0.0</v>
      </c>
      <c r="K130" s="12">
        <v>0.0</v>
      </c>
      <c r="L130" s="12">
        <v>0.0</v>
      </c>
    </row>
    <row r="131">
      <c r="A131" s="10">
        <v>25.0</v>
      </c>
      <c r="B131" s="14" t="s">
        <v>43</v>
      </c>
      <c r="C131" s="12">
        <f t="shared" si="7"/>
        <v>0</v>
      </c>
      <c r="D131" s="13"/>
      <c r="E131" s="12">
        <v>0.0</v>
      </c>
      <c r="F131" s="12">
        <v>0.0</v>
      </c>
      <c r="G131" s="12">
        <v>0.0</v>
      </c>
      <c r="H131" s="12">
        <v>0.0</v>
      </c>
      <c r="I131" s="12">
        <v>0.0</v>
      </c>
      <c r="J131" s="12">
        <v>0.0</v>
      </c>
      <c r="K131" s="12">
        <v>0.0</v>
      </c>
      <c r="L131" s="12">
        <v>0.0</v>
      </c>
    </row>
    <row r="132">
      <c r="A132" s="10">
        <v>26.0</v>
      </c>
      <c r="B132" s="11" t="s">
        <v>44</v>
      </c>
      <c r="C132" s="12">
        <f t="shared" si="7"/>
        <v>0</v>
      </c>
      <c r="D132" s="13"/>
      <c r="E132" s="12">
        <v>0.0</v>
      </c>
      <c r="F132" s="12">
        <v>0.0</v>
      </c>
      <c r="G132" s="12">
        <v>0.0</v>
      </c>
      <c r="H132" s="12">
        <v>0.0</v>
      </c>
      <c r="I132" s="12">
        <v>0.0</v>
      </c>
      <c r="J132" s="12">
        <v>0.0</v>
      </c>
      <c r="K132" s="12">
        <v>0.0</v>
      </c>
      <c r="L132" s="12">
        <v>0.0</v>
      </c>
    </row>
    <row r="133">
      <c r="A133" s="10">
        <v>27.0</v>
      </c>
      <c r="B133" s="11" t="s">
        <v>45</v>
      </c>
      <c r="C133" s="12">
        <f t="shared" si="7"/>
        <v>0</v>
      </c>
      <c r="D133" s="13"/>
      <c r="E133" s="12">
        <v>0.0</v>
      </c>
      <c r="F133" s="12">
        <v>0.0</v>
      </c>
      <c r="G133" s="12">
        <v>0.0</v>
      </c>
      <c r="H133" s="12">
        <v>0.0</v>
      </c>
      <c r="I133" s="12">
        <v>0.0</v>
      </c>
      <c r="J133" s="12">
        <v>0.0</v>
      </c>
      <c r="K133" s="12">
        <v>0.0</v>
      </c>
      <c r="L133" s="12">
        <v>0.0</v>
      </c>
    </row>
    <row r="134">
      <c r="A134" s="10">
        <v>28.0</v>
      </c>
      <c r="B134" s="17" t="s">
        <v>46</v>
      </c>
      <c r="C134" s="12">
        <f t="shared" si="7"/>
        <v>0</v>
      </c>
      <c r="D134" s="13"/>
      <c r="E134" s="12">
        <v>0.0</v>
      </c>
      <c r="F134" s="12">
        <v>0.0</v>
      </c>
      <c r="G134" s="12">
        <v>0.0</v>
      </c>
      <c r="H134" s="12">
        <v>0.0</v>
      </c>
      <c r="I134" s="12">
        <v>0.0</v>
      </c>
      <c r="J134" s="12">
        <v>0.0</v>
      </c>
      <c r="K134" s="12">
        <v>0.0</v>
      </c>
      <c r="L134" s="12">
        <v>0.0</v>
      </c>
    </row>
    <row r="135">
      <c r="A135" s="10">
        <v>29.0</v>
      </c>
      <c r="B135" s="11" t="s">
        <v>15</v>
      </c>
      <c r="C135" s="12">
        <f t="shared" si="7"/>
        <v>0</v>
      </c>
      <c r="D135" s="13"/>
      <c r="E135" s="12">
        <v>0.0</v>
      </c>
      <c r="F135" s="12">
        <v>0.0</v>
      </c>
      <c r="G135" s="12">
        <v>0.0</v>
      </c>
      <c r="H135" s="12">
        <v>0.0</v>
      </c>
      <c r="I135" s="12">
        <v>0.0</v>
      </c>
      <c r="J135" s="12">
        <v>0.0</v>
      </c>
      <c r="K135" s="12">
        <v>0.0</v>
      </c>
      <c r="L135" s="12">
        <v>0.0</v>
      </c>
    </row>
    <row r="136">
      <c r="A136" s="10">
        <v>30.0</v>
      </c>
      <c r="B136" s="11" t="s">
        <v>47</v>
      </c>
      <c r="C136" s="12">
        <f t="shared" si="7"/>
        <v>0</v>
      </c>
      <c r="D136" s="18"/>
      <c r="E136" s="12">
        <v>0.0</v>
      </c>
      <c r="F136" s="12">
        <v>0.0</v>
      </c>
      <c r="G136" s="12">
        <v>0.0</v>
      </c>
      <c r="H136" s="12">
        <v>0.0</v>
      </c>
      <c r="I136" s="12">
        <v>0.0</v>
      </c>
      <c r="J136" s="12">
        <v>0.0</v>
      </c>
      <c r="K136" s="12">
        <v>0.0</v>
      </c>
      <c r="L136" s="12">
        <v>0.0</v>
      </c>
    </row>
    <row r="137">
      <c r="A137" s="30" t="s">
        <v>63</v>
      </c>
      <c r="B137" s="3"/>
      <c r="C137" s="20">
        <f>SUM(C107:C136)</f>
        <v>160</v>
      </c>
      <c r="D137" s="21"/>
      <c r="E137" s="20">
        <f t="shared" ref="E137:L137" si="8">SUM(E107:E136)</f>
        <v>0</v>
      </c>
      <c r="F137" s="20">
        <f t="shared" si="8"/>
        <v>135</v>
      </c>
      <c r="G137" s="20">
        <f t="shared" si="8"/>
        <v>0</v>
      </c>
      <c r="H137" s="20">
        <f t="shared" si="8"/>
        <v>0</v>
      </c>
      <c r="I137" s="20">
        <f t="shared" si="8"/>
        <v>25</v>
      </c>
      <c r="J137" s="20">
        <f t="shared" si="8"/>
        <v>0</v>
      </c>
      <c r="K137" s="20">
        <f t="shared" si="8"/>
        <v>0</v>
      </c>
      <c r="L137" s="20">
        <f t="shared" si="8"/>
        <v>0</v>
      </c>
    </row>
    <row r="138">
      <c r="A138" s="31" t="s">
        <v>64</v>
      </c>
      <c r="B138" s="2"/>
      <c r="C138" s="3"/>
      <c r="D138" s="41"/>
      <c r="E138" s="33">
        <f>C103+C137</f>
        <v>419</v>
      </c>
      <c r="F138" s="41"/>
      <c r="G138" s="2"/>
      <c r="H138" s="2"/>
      <c r="I138" s="2"/>
      <c r="J138" s="2"/>
      <c r="K138" s="2"/>
      <c r="L138" s="3"/>
    </row>
    <row r="139">
      <c r="A139" s="2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3"/>
    </row>
    <row r="140">
      <c r="A140" s="35" t="s">
        <v>65</v>
      </c>
      <c r="B140" s="2"/>
      <c r="C140" s="3"/>
      <c r="D140" s="42"/>
      <c r="E140" s="6" t="s">
        <v>66</v>
      </c>
      <c r="F140" s="2"/>
      <c r="G140" s="2"/>
      <c r="H140" s="2"/>
      <c r="I140" s="2"/>
      <c r="J140" s="2"/>
      <c r="K140" s="2"/>
      <c r="L140" s="3"/>
    </row>
    <row r="141">
      <c r="A141" s="7" t="s">
        <v>5</v>
      </c>
      <c r="B141" s="7" t="s">
        <v>67</v>
      </c>
      <c r="C141" s="7" t="s">
        <v>7</v>
      </c>
      <c r="D141" s="8"/>
      <c r="E141" s="9" t="s">
        <v>8</v>
      </c>
      <c r="F141" s="9" t="s">
        <v>9</v>
      </c>
      <c r="G141" s="9" t="s">
        <v>10</v>
      </c>
      <c r="H141" s="9" t="s">
        <v>11</v>
      </c>
      <c r="I141" s="9" t="s">
        <v>12</v>
      </c>
      <c r="J141" s="9" t="s">
        <v>13</v>
      </c>
      <c r="K141" s="9" t="s">
        <v>14</v>
      </c>
      <c r="L141" s="9" t="s">
        <v>15</v>
      </c>
    </row>
    <row r="142">
      <c r="A142" s="27">
        <v>1.0</v>
      </c>
      <c r="B142" s="17" t="s">
        <v>16</v>
      </c>
      <c r="C142" s="7">
        <f t="shared" ref="C142:C171" si="9">E142+F142+G142+H142+I142+J142+K142+L142</f>
        <v>0</v>
      </c>
      <c r="D142" s="13"/>
      <c r="E142" s="7">
        <v>0.0</v>
      </c>
      <c r="F142" s="7">
        <v>0.0</v>
      </c>
      <c r="G142" s="7">
        <v>0.0</v>
      </c>
      <c r="H142" s="7">
        <v>0.0</v>
      </c>
      <c r="I142" s="7">
        <v>0.0</v>
      </c>
      <c r="J142" s="7">
        <v>0.0</v>
      </c>
      <c r="K142" s="7">
        <v>0.0</v>
      </c>
      <c r="L142" s="7">
        <v>0.0</v>
      </c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>
      <c r="A143" s="10">
        <v>2.0</v>
      </c>
      <c r="B143" s="11" t="s">
        <v>17</v>
      </c>
      <c r="C143" s="12">
        <f t="shared" si="9"/>
        <v>0</v>
      </c>
      <c r="D143" s="13"/>
      <c r="E143" s="12">
        <v>0.0</v>
      </c>
      <c r="F143" s="12">
        <v>0.0</v>
      </c>
      <c r="G143" s="12">
        <v>0.0</v>
      </c>
      <c r="H143" s="12">
        <v>0.0</v>
      </c>
      <c r="I143" s="12">
        <v>0.0</v>
      </c>
      <c r="J143" s="12">
        <v>0.0</v>
      </c>
      <c r="K143" s="12">
        <v>0.0</v>
      </c>
      <c r="L143" s="12">
        <v>0.0</v>
      </c>
    </row>
    <row r="144">
      <c r="A144" s="10">
        <v>3.0</v>
      </c>
      <c r="B144" s="11" t="s">
        <v>18</v>
      </c>
      <c r="C144" s="12">
        <f t="shared" si="9"/>
        <v>0</v>
      </c>
      <c r="D144" s="13"/>
      <c r="E144" s="12">
        <v>0.0</v>
      </c>
      <c r="F144" s="12">
        <v>0.0</v>
      </c>
      <c r="G144" s="12">
        <v>0.0</v>
      </c>
      <c r="H144" s="12">
        <v>0.0</v>
      </c>
      <c r="I144" s="12">
        <v>0.0</v>
      </c>
      <c r="J144" s="12">
        <v>0.0</v>
      </c>
      <c r="K144" s="12">
        <v>0.0</v>
      </c>
      <c r="L144" s="12">
        <v>0.0</v>
      </c>
    </row>
    <row r="145">
      <c r="A145" s="10">
        <v>4.0</v>
      </c>
      <c r="B145" s="11" t="s">
        <v>19</v>
      </c>
      <c r="C145" s="12">
        <f t="shared" si="9"/>
        <v>0</v>
      </c>
      <c r="D145" s="13"/>
      <c r="E145" s="12">
        <v>0.0</v>
      </c>
      <c r="F145" s="12">
        <v>0.0</v>
      </c>
      <c r="G145" s="12">
        <v>0.0</v>
      </c>
      <c r="H145" s="12">
        <v>0.0</v>
      </c>
      <c r="I145" s="12">
        <v>0.0</v>
      </c>
      <c r="J145" s="12">
        <v>0.0</v>
      </c>
      <c r="K145" s="12">
        <v>0.0</v>
      </c>
      <c r="L145" s="12">
        <v>0.0</v>
      </c>
    </row>
    <row r="146">
      <c r="A146" s="27">
        <v>5.0</v>
      </c>
      <c r="B146" s="17" t="s">
        <v>20</v>
      </c>
      <c r="C146" s="7">
        <f t="shared" si="9"/>
        <v>26</v>
      </c>
      <c r="D146" s="13"/>
      <c r="E146" s="7">
        <v>23.0</v>
      </c>
      <c r="F146" s="7">
        <v>3.0</v>
      </c>
      <c r="G146" s="7">
        <v>0.0</v>
      </c>
      <c r="H146" s="7">
        <v>0.0</v>
      </c>
      <c r="I146" s="7">
        <v>0.0</v>
      </c>
      <c r="J146" s="7">
        <v>0.0</v>
      </c>
      <c r="K146" s="7">
        <v>0.0</v>
      </c>
      <c r="L146" s="7">
        <v>0.0</v>
      </c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>
      <c r="A147" s="10">
        <v>6.0</v>
      </c>
      <c r="B147" s="14" t="s">
        <v>21</v>
      </c>
      <c r="C147" s="12">
        <f t="shared" si="9"/>
        <v>0</v>
      </c>
      <c r="D147" s="13"/>
      <c r="E147" s="12">
        <v>0.0</v>
      </c>
      <c r="F147" s="12">
        <v>0.0</v>
      </c>
      <c r="G147" s="12">
        <v>0.0</v>
      </c>
      <c r="H147" s="12">
        <v>0.0</v>
      </c>
      <c r="I147" s="12">
        <v>0.0</v>
      </c>
      <c r="J147" s="12">
        <v>0.0</v>
      </c>
      <c r="K147" s="12">
        <v>0.0</v>
      </c>
      <c r="L147" s="12">
        <v>0.0</v>
      </c>
    </row>
    <row r="148">
      <c r="A148" s="10">
        <v>7.0</v>
      </c>
      <c r="B148" s="11" t="s">
        <v>23</v>
      </c>
      <c r="C148" s="12">
        <f t="shared" si="9"/>
        <v>0</v>
      </c>
      <c r="D148" s="13"/>
      <c r="E148" s="12">
        <v>0.0</v>
      </c>
      <c r="F148" s="12">
        <v>0.0</v>
      </c>
      <c r="G148" s="12">
        <v>0.0</v>
      </c>
      <c r="H148" s="12">
        <v>0.0</v>
      </c>
      <c r="I148" s="12">
        <v>0.0</v>
      </c>
      <c r="J148" s="12">
        <v>0.0</v>
      </c>
      <c r="K148" s="12">
        <v>0.0</v>
      </c>
      <c r="L148" s="12">
        <v>0.0</v>
      </c>
    </row>
    <row r="149">
      <c r="A149" s="10">
        <v>8.0</v>
      </c>
      <c r="B149" s="11" t="s">
        <v>25</v>
      </c>
      <c r="C149" s="12">
        <f t="shared" si="9"/>
        <v>0</v>
      </c>
      <c r="D149" s="13"/>
      <c r="E149" s="12">
        <v>0.0</v>
      </c>
      <c r="F149" s="12">
        <v>0.0</v>
      </c>
      <c r="G149" s="12">
        <v>0.0</v>
      </c>
      <c r="H149" s="12">
        <v>0.0</v>
      </c>
      <c r="I149" s="12">
        <v>0.0</v>
      </c>
      <c r="J149" s="12">
        <v>0.0</v>
      </c>
      <c r="K149" s="12">
        <v>0.0</v>
      </c>
      <c r="L149" s="12">
        <v>0.0</v>
      </c>
    </row>
    <row r="150">
      <c r="A150" s="10">
        <v>9.0</v>
      </c>
      <c r="B150" s="17" t="s">
        <v>26</v>
      </c>
      <c r="C150" s="7">
        <f t="shared" si="9"/>
        <v>8</v>
      </c>
      <c r="D150" s="13"/>
      <c r="E150" s="12">
        <v>0.0</v>
      </c>
      <c r="F150" s="7">
        <v>8.0</v>
      </c>
      <c r="G150" s="12">
        <v>0.0</v>
      </c>
      <c r="H150" s="12">
        <v>0.0</v>
      </c>
      <c r="I150" s="12">
        <v>0.0</v>
      </c>
      <c r="J150" s="12">
        <v>0.0</v>
      </c>
      <c r="K150" s="12">
        <v>0.0</v>
      </c>
      <c r="L150" s="12">
        <v>0.0</v>
      </c>
    </row>
    <row r="151">
      <c r="A151" s="10">
        <v>10.0</v>
      </c>
      <c r="B151" s="14" t="s">
        <v>27</v>
      </c>
      <c r="C151" s="12">
        <f t="shared" si="9"/>
        <v>0</v>
      </c>
      <c r="D151" s="13"/>
      <c r="E151" s="12">
        <v>0.0</v>
      </c>
      <c r="F151" s="12">
        <v>0.0</v>
      </c>
      <c r="G151" s="12">
        <v>0.0</v>
      </c>
      <c r="H151" s="12">
        <v>0.0</v>
      </c>
      <c r="I151" s="12">
        <v>0.0</v>
      </c>
      <c r="J151" s="12">
        <v>0.0</v>
      </c>
      <c r="K151" s="12">
        <v>0.0</v>
      </c>
      <c r="L151" s="12">
        <v>0.0</v>
      </c>
    </row>
    <row r="152">
      <c r="A152" s="10">
        <v>11.0</v>
      </c>
      <c r="B152" s="11" t="s">
        <v>28</v>
      </c>
      <c r="C152" s="12">
        <f t="shared" si="9"/>
        <v>0</v>
      </c>
      <c r="D152" s="13"/>
      <c r="E152" s="12">
        <v>0.0</v>
      </c>
      <c r="F152" s="12">
        <v>0.0</v>
      </c>
      <c r="G152" s="12">
        <v>0.0</v>
      </c>
      <c r="H152" s="12">
        <v>0.0</v>
      </c>
      <c r="I152" s="12">
        <v>0.0</v>
      </c>
      <c r="J152" s="12">
        <v>0.0</v>
      </c>
      <c r="K152" s="12">
        <v>0.0</v>
      </c>
      <c r="L152" s="12">
        <v>0.0</v>
      </c>
    </row>
    <row r="153">
      <c r="A153" s="27">
        <v>12.0</v>
      </c>
      <c r="B153" s="17" t="s">
        <v>29</v>
      </c>
      <c r="C153" s="7">
        <f t="shared" si="9"/>
        <v>11</v>
      </c>
      <c r="D153" s="13"/>
      <c r="E153" s="7">
        <v>0.0</v>
      </c>
      <c r="F153" s="7">
        <v>11.0</v>
      </c>
      <c r="G153" s="7">
        <v>0.0</v>
      </c>
      <c r="H153" s="7">
        <v>0.0</v>
      </c>
      <c r="I153" s="7">
        <v>0.0</v>
      </c>
      <c r="J153" s="7">
        <v>0.0</v>
      </c>
      <c r="K153" s="7">
        <v>0.0</v>
      </c>
      <c r="L153" s="7">
        <v>0.0</v>
      </c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>
      <c r="A154" s="27">
        <v>13.0</v>
      </c>
      <c r="B154" s="17" t="s">
        <v>30</v>
      </c>
      <c r="C154" s="7">
        <f t="shared" si="9"/>
        <v>7</v>
      </c>
      <c r="D154" s="13"/>
      <c r="E154" s="7">
        <v>0.0</v>
      </c>
      <c r="F154" s="7">
        <v>0.0</v>
      </c>
      <c r="G154" s="7">
        <v>7.0</v>
      </c>
      <c r="H154" s="7">
        <v>0.0</v>
      </c>
      <c r="I154" s="7">
        <v>0.0</v>
      </c>
      <c r="J154" s="7">
        <v>0.0</v>
      </c>
      <c r="K154" s="7">
        <v>0.0</v>
      </c>
      <c r="L154" s="7">
        <v>0.0</v>
      </c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>
      <c r="A155" s="10">
        <v>14.0</v>
      </c>
      <c r="B155" s="11" t="s">
        <v>31</v>
      </c>
      <c r="C155" s="12">
        <f t="shared" si="9"/>
        <v>0</v>
      </c>
      <c r="D155" s="13"/>
      <c r="E155" s="12">
        <v>0.0</v>
      </c>
      <c r="F155" s="12">
        <v>0.0</v>
      </c>
      <c r="G155" s="12">
        <v>0.0</v>
      </c>
      <c r="H155" s="12">
        <v>0.0</v>
      </c>
      <c r="I155" s="12">
        <v>0.0</v>
      </c>
      <c r="J155" s="12">
        <v>0.0</v>
      </c>
      <c r="K155" s="12">
        <v>0.0</v>
      </c>
      <c r="L155" s="12">
        <v>0.0</v>
      </c>
    </row>
    <row r="156">
      <c r="A156" s="10">
        <v>15.0</v>
      </c>
      <c r="B156" s="11" t="s">
        <v>32</v>
      </c>
      <c r="C156" s="12">
        <f t="shared" si="9"/>
        <v>0</v>
      </c>
      <c r="D156" s="13"/>
      <c r="E156" s="12">
        <v>0.0</v>
      </c>
      <c r="F156" s="12">
        <v>0.0</v>
      </c>
      <c r="G156" s="12">
        <v>0.0</v>
      </c>
      <c r="H156" s="12">
        <v>0.0</v>
      </c>
      <c r="I156" s="12">
        <v>0.0</v>
      </c>
      <c r="J156" s="12">
        <v>0.0</v>
      </c>
      <c r="K156" s="12">
        <v>0.0</v>
      </c>
      <c r="L156" s="12">
        <v>0.0</v>
      </c>
    </row>
    <row r="157">
      <c r="A157" s="10">
        <v>16.0</v>
      </c>
      <c r="B157" s="14" t="s">
        <v>33</v>
      </c>
      <c r="C157" s="12">
        <f t="shared" si="9"/>
        <v>0</v>
      </c>
      <c r="D157" s="13"/>
      <c r="E157" s="12">
        <v>0.0</v>
      </c>
      <c r="F157" s="12">
        <v>0.0</v>
      </c>
      <c r="G157" s="12">
        <v>0.0</v>
      </c>
      <c r="H157" s="12">
        <v>0.0</v>
      </c>
      <c r="I157" s="12">
        <v>0.0</v>
      </c>
      <c r="J157" s="12">
        <v>0.0</v>
      </c>
      <c r="K157" s="12">
        <v>0.0</v>
      </c>
      <c r="L157" s="12">
        <v>0.0</v>
      </c>
    </row>
    <row r="158">
      <c r="A158" s="27">
        <v>17.0</v>
      </c>
      <c r="B158" s="29" t="s">
        <v>34</v>
      </c>
      <c r="C158" s="7">
        <f t="shared" si="9"/>
        <v>31</v>
      </c>
      <c r="D158" s="13"/>
      <c r="E158" s="7">
        <v>0.0</v>
      </c>
      <c r="F158" s="7">
        <v>28.0</v>
      </c>
      <c r="G158" s="7">
        <v>0.0</v>
      </c>
      <c r="H158" s="7">
        <v>0.0</v>
      </c>
      <c r="I158" s="7">
        <v>3.0</v>
      </c>
      <c r="J158" s="7">
        <v>0.0</v>
      </c>
      <c r="K158" s="7">
        <v>0.0</v>
      </c>
      <c r="L158" s="7">
        <v>0.0</v>
      </c>
      <c r="M158" s="28"/>
      <c r="N158" s="43" t="s">
        <v>0</v>
      </c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>
      <c r="A159" s="10">
        <v>18.0</v>
      </c>
      <c r="B159" s="14" t="s">
        <v>35</v>
      </c>
      <c r="C159" s="12">
        <f t="shared" si="9"/>
        <v>0</v>
      </c>
      <c r="D159" s="13"/>
      <c r="E159" s="12">
        <v>0.0</v>
      </c>
      <c r="F159" s="12">
        <v>0.0</v>
      </c>
      <c r="G159" s="12">
        <v>0.0</v>
      </c>
      <c r="H159" s="12">
        <v>0.0</v>
      </c>
      <c r="I159" s="12">
        <v>0.0</v>
      </c>
      <c r="J159" s="12">
        <v>0.0</v>
      </c>
      <c r="K159" s="12">
        <v>0.0</v>
      </c>
      <c r="L159" s="12">
        <v>0.0</v>
      </c>
    </row>
    <row r="160">
      <c r="A160" s="16">
        <v>19.0</v>
      </c>
      <c r="B160" s="11" t="s">
        <v>36</v>
      </c>
      <c r="C160" s="12">
        <f t="shared" si="9"/>
        <v>0</v>
      </c>
      <c r="D160" s="13"/>
      <c r="E160" s="12">
        <v>0.0</v>
      </c>
      <c r="F160" s="12">
        <v>0.0</v>
      </c>
      <c r="G160" s="12">
        <v>0.0</v>
      </c>
      <c r="H160" s="12">
        <v>0.0</v>
      </c>
      <c r="I160" s="12">
        <v>0.0</v>
      </c>
      <c r="J160" s="12">
        <v>0.0</v>
      </c>
      <c r="K160" s="12">
        <v>0.0</v>
      </c>
      <c r="L160" s="12">
        <v>0.0</v>
      </c>
    </row>
    <row r="161">
      <c r="A161" s="16">
        <v>20.0</v>
      </c>
      <c r="B161" s="14" t="s">
        <v>37</v>
      </c>
      <c r="C161" s="12">
        <f t="shared" si="9"/>
        <v>0</v>
      </c>
      <c r="D161" s="13"/>
      <c r="E161" s="12">
        <v>0.0</v>
      </c>
      <c r="F161" s="12">
        <v>0.0</v>
      </c>
      <c r="G161" s="12">
        <v>0.0</v>
      </c>
      <c r="H161" s="12">
        <v>0.0</v>
      </c>
      <c r="I161" s="12">
        <v>0.0</v>
      </c>
      <c r="J161" s="12">
        <v>0.0</v>
      </c>
      <c r="K161" s="12">
        <v>0.0</v>
      </c>
      <c r="L161" s="12">
        <v>0.0</v>
      </c>
    </row>
    <row r="162">
      <c r="A162" s="10">
        <v>21.0</v>
      </c>
      <c r="B162" s="11" t="s">
        <v>38</v>
      </c>
      <c r="C162" s="12">
        <f t="shared" si="9"/>
        <v>0</v>
      </c>
      <c r="D162" s="13"/>
      <c r="E162" s="12">
        <v>0.0</v>
      </c>
      <c r="F162" s="12">
        <v>0.0</v>
      </c>
      <c r="G162" s="12">
        <v>0.0</v>
      </c>
      <c r="H162" s="12">
        <v>0.0</v>
      </c>
      <c r="I162" s="12">
        <v>0.0</v>
      </c>
      <c r="J162" s="12">
        <v>0.0</v>
      </c>
      <c r="K162" s="12">
        <v>0.0</v>
      </c>
      <c r="L162" s="12">
        <v>0.0</v>
      </c>
    </row>
    <row r="163">
      <c r="A163" s="10">
        <v>22.0</v>
      </c>
      <c r="B163" s="11" t="s">
        <v>39</v>
      </c>
      <c r="C163" s="12">
        <f t="shared" si="9"/>
        <v>0</v>
      </c>
      <c r="D163" s="13"/>
      <c r="E163" s="12">
        <v>0.0</v>
      </c>
      <c r="F163" s="12">
        <v>0.0</v>
      </c>
      <c r="G163" s="12">
        <v>0.0</v>
      </c>
      <c r="H163" s="12">
        <v>0.0</v>
      </c>
      <c r="I163" s="12">
        <v>0.0</v>
      </c>
      <c r="J163" s="12">
        <v>0.0</v>
      </c>
      <c r="K163" s="12">
        <v>0.0</v>
      </c>
      <c r="L163" s="12">
        <v>0.0</v>
      </c>
    </row>
    <row r="164">
      <c r="A164" s="10">
        <v>23.0</v>
      </c>
      <c r="B164" s="29" t="s">
        <v>40</v>
      </c>
      <c r="C164" s="7">
        <f t="shared" si="9"/>
        <v>23</v>
      </c>
      <c r="D164" s="13"/>
      <c r="E164" s="7">
        <v>11.0</v>
      </c>
      <c r="F164" s="7">
        <v>9.0</v>
      </c>
      <c r="G164" s="7">
        <v>3.0</v>
      </c>
      <c r="H164" s="12">
        <v>0.0</v>
      </c>
      <c r="I164" s="12">
        <v>0.0</v>
      </c>
      <c r="J164" s="12">
        <v>0.0</v>
      </c>
      <c r="K164" s="12">
        <v>0.0</v>
      </c>
      <c r="L164" s="12">
        <v>0.0</v>
      </c>
    </row>
    <row r="165">
      <c r="A165" s="10">
        <v>24.0</v>
      </c>
      <c r="B165" s="14" t="s">
        <v>42</v>
      </c>
      <c r="C165" s="12">
        <f t="shared" si="9"/>
        <v>0</v>
      </c>
      <c r="D165" s="13"/>
      <c r="E165" s="12">
        <v>0.0</v>
      </c>
      <c r="F165" s="12">
        <v>0.0</v>
      </c>
      <c r="G165" s="12">
        <v>0.0</v>
      </c>
      <c r="H165" s="12">
        <v>0.0</v>
      </c>
      <c r="I165" s="12">
        <v>0.0</v>
      </c>
      <c r="J165" s="12">
        <v>0.0</v>
      </c>
      <c r="K165" s="12">
        <v>0.0</v>
      </c>
      <c r="L165" s="12">
        <v>0.0</v>
      </c>
    </row>
    <row r="166">
      <c r="A166" s="10">
        <v>25.0</v>
      </c>
      <c r="B166" s="14" t="s">
        <v>43</v>
      </c>
      <c r="C166" s="12">
        <f t="shared" si="9"/>
        <v>0</v>
      </c>
      <c r="D166" s="13"/>
      <c r="E166" s="12">
        <v>0.0</v>
      </c>
      <c r="F166" s="12">
        <v>0.0</v>
      </c>
      <c r="G166" s="12">
        <v>0.0</v>
      </c>
      <c r="H166" s="12">
        <v>0.0</v>
      </c>
      <c r="I166" s="12">
        <v>0.0</v>
      </c>
      <c r="J166" s="12">
        <v>0.0</v>
      </c>
      <c r="K166" s="12">
        <v>0.0</v>
      </c>
      <c r="L166" s="12">
        <v>0.0</v>
      </c>
    </row>
    <row r="167">
      <c r="A167" s="10">
        <v>26.0</v>
      </c>
      <c r="B167" s="11" t="s">
        <v>44</v>
      </c>
      <c r="C167" s="12">
        <f t="shared" si="9"/>
        <v>0</v>
      </c>
      <c r="D167" s="13"/>
      <c r="E167" s="12">
        <v>0.0</v>
      </c>
      <c r="F167" s="12">
        <v>0.0</v>
      </c>
      <c r="G167" s="12">
        <v>0.0</v>
      </c>
      <c r="H167" s="12">
        <v>0.0</v>
      </c>
      <c r="I167" s="12">
        <v>0.0</v>
      </c>
      <c r="J167" s="12">
        <v>0.0</v>
      </c>
      <c r="K167" s="12">
        <v>0.0</v>
      </c>
      <c r="L167" s="12">
        <v>0.0</v>
      </c>
    </row>
    <row r="168">
      <c r="A168" s="10">
        <v>27.0</v>
      </c>
      <c r="B168" s="11" t="s">
        <v>45</v>
      </c>
      <c r="C168" s="12">
        <f t="shared" si="9"/>
        <v>0</v>
      </c>
      <c r="D168" s="13"/>
      <c r="E168" s="12">
        <v>0.0</v>
      </c>
      <c r="F168" s="12">
        <v>0.0</v>
      </c>
      <c r="G168" s="12">
        <v>0.0</v>
      </c>
      <c r="H168" s="12">
        <v>0.0</v>
      </c>
      <c r="I168" s="12">
        <v>0.0</v>
      </c>
      <c r="J168" s="12">
        <v>0.0</v>
      </c>
      <c r="K168" s="12">
        <v>0.0</v>
      </c>
      <c r="L168" s="12">
        <v>0.0</v>
      </c>
    </row>
    <row r="169">
      <c r="A169" s="10">
        <v>28.0</v>
      </c>
      <c r="B169" s="17" t="s">
        <v>46</v>
      </c>
      <c r="C169" s="12">
        <f t="shared" si="9"/>
        <v>0</v>
      </c>
      <c r="D169" s="13"/>
      <c r="E169" s="12">
        <v>0.0</v>
      </c>
      <c r="F169" s="12">
        <v>0.0</v>
      </c>
      <c r="G169" s="12">
        <v>0.0</v>
      </c>
      <c r="H169" s="12">
        <v>0.0</v>
      </c>
      <c r="I169" s="12">
        <v>0.0</v>
      </c>
      <c r="J169" s="12">
        <v>0.0</v>
      </c>
      <c r="K169" s="12">
        <v>0.0</v>
      </c>
      <c r="L169" s="12">
        <v>0.0</v>
      </c>
    </row>
    <row r="170">
      <c r="A170" s="10">
        <v>29.0</v>
      </c>
      <c r="B170" s="11" t="s">
        <v>15</v>
      </c>
      <c r="C170" s="12">
        <f t="shared" si="9"/>
        <v>0</v>
      </c>
      <c r="D170" s="13"/>
      <c r="E170" s="12">
        <v>0.0</v>
      </c>
      <c r="F170" s="12">
        <v>0.0</v>
      </c>
      <c r="G170" s="12">
        <v>0.0</v>
      </c>
      <c r="H170" s="12">
        <v>0.0</v>
      </c>
      <c r="I170" s="12">
        <v>0.0</v>
      </c>
      <c r="J170" s="12">
        <v>0.0</v>
      </c>
      <c r="K170" s="12">
        <v>0.0</v>
      </c>
      <c r="L170" s="12">
        <v>0.0</v>
      </c>
    </row>
    <row r="171">
      <c r="A171" s="10">
        <v>30.0</v>
      </c>
      <c r="B171" s="11" t="s">
        <v>47</v>
      </c>
      <c r="C171" s="12">
        <f t="shared" si="9"/>
        <v>0</v>
      </c>
      <c r="D171" s="18"/>
      <c r="E171" s="12">
        <v>0.0</v>
      </c>
      <c r="F171" s="12">
        <v>0.0</v>
      </c>
      <c r="G171" s="12">
        <v>0.0</v>
      </c>
      <c r="H171" s="12">
        <v>0.0</v>
      </c>
      <c r="I171" s="12">
        <v>0.0</v>
      </c>
      <c r="J171" s="12">
        <v>0.0</v>
      </c>
      <c r="K171" s="12">
        <v>0.0</v>
      </c>
      <c r="L171" s="12">
        <v>0.0</v>
      </c>
    </row>
    <row r="172">
      <c r="A172" s="19" t="s">
        <v>68</v>
      </c>
      <c r="B172" s="3"/>
      <c r="C172" s="20">
        <f>SUM(C142:C171)</f>
        <v>106</v>
      </c>
      <c r="D172" s="21"/>
      <c r="E172" s="20">
        <f t="shared" ref="E172:L172" si="10">SUM(E142:E171)</f>
        <v>34</v>
      </c>
      <c r="F172" s="20">
        <f t="shared" si="10"/>
        <v>59</v>
      </c>
      <c r="G172" s="20">
        <f t="shared" si="10"/>
        <v>10</v>
      </c>
      <c r="H172" s="20">
        <f t="shared" si="10"/>
        <v>0</v>
      </c>
      <c r="I172" s="20">
        <f t="shared" si="10"/>
        <v>3</v>
      </c>
      <c r="J172" s="20">
        <f t="shared" si="10"/>
        <v>0</v>
      </c>
      <c r="K172" s="20">
        <f t="shared" si="10"/>
        <v>0</v>
      </c>
      <c r="L172" s="20">
        <f t="shared" si="10"/>
        <v>0</v>
      </c>
    </row>
    <row r="173">
      <c r="A173" s="2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3"/>
    </row>
    <row r="174">
      <c r="A174" s="39" t="s">
        <v>69</v>
      </c>
      <c r="B174" s="2"/>
      <c r="C174" s="3"/>
      <c r="D174" s="40"/>
      <c r="E174" s="26" t="s">
        <v>70</v>
      </c>
      <c r="F174" s="2"/>
      <c r="G174" s="2"/>
      <c r="H174" s="2"/>
      <c r="I174" s="2"/>
      <c r="J174" s="2"/>
      <c r="K174" s="2"/>
      <c r="L174" s="3"/>
    </row>
    <row r="175">
      <c r="A175" s="7" t="s">
        <v>5</v>
      </c>
      <c r="B175" s="7" t="s">
        <v>71</v>
      </c>
      <c r="C175" s="7" t="s">
        <v>7</v>
      </c>
      <c r="D175" s="8"/>
      <c r="E175" s="9" t="s">
        <v>8</v>
      </c>
      <c r="F175" s="9" t="s">
        <v>9</v>
      </c>
      <c r="G175" s="9" t="s">
        <v>10</v>
      </c>
      <c r="H175" s="9" t="s">
        <v>11</v>
      </c>
      <c r="I175" s="9" t="s">
        <v>12</v>
      </c>
      <c r="J175" s="9" t="s">
        <v>13</v>
      </c>
      <c r="K175" s="9" t="s">
        <v>14</v>
      </c>
      <c r="L175" s="9" t="s">
        <v>15</v>
      </c>
    </row>
    <row r="176">
      <c r="A176" s="10">
        <v>1.0</v>
      </c>
      <c r="B176" s="11" t="s">
        <v>16</v>
      </c>
      <c r="C176" s="12">
        <f t="shared" ref="C176:C205" si="11">E176+F176+G176+H176+I176+J176+K176+L176</f>
        <v>2</v>
      </c>
      <c r="D176" s="13"/>
      <c r="E176" s="12">
        <v>0.0</v>
      </c>
      <c r="F176" s="12">
        <v>0.0</v>
      </c>
      <c r="G176" s="12">
        <v>0.0</v>
      </c>
      <c r="H176" s="12">
        <v>0.0</v>
      </c>
      <c r="I176" s="12">
        <v>2.0</v>
      </c>
      <c r="J176" s="12">
        <v>0.0</v>
      </c>
      <c r="K176" s="12">
        <v>0.0</v>
      </c>
      <c r="L176" s="12">
        <v>0.0</v>
      </c>
    </row>
    <row r="177">
      <c r="A177" s="10">
        <v>2.0</v>
      </c>
      <c r="B177" s="11" t="s">
        <v>17</v>
      </c>
      <c r="C177" s="12">
        <f t="shared" si="11"/>
        <v>0</v>
      </c>
      <c r="D177" s="13"/>
      <c r="E177" s="12">
        <v>0.0</v>
      </c>
      <c r="F177" s="12">
        <v>0.0</v>
      </c>
      <c r="G177" s="12">
        <v>0.0</v>
      </c>
      <c r="H177" s="12">
        <v>0.0</v>
      </c>
      <c r="I177" s="12">
        <v>0.0</v>
      </c>
      <c r="J177" s="12">
        <v>0.0</v>
      </c>
      <c r="K177" s="12">
        <v>0.0</v>
      </c>
      <c r="L177" s="12">
        <v>0.0</v>
      </c>
    </row>
    <row r="178">
      <c r="A178" s="10">
        <v>3.0</v>
      </c>
      <c r="B178" s="11" t="s">
        <v>18</v>
      </c>
      <c r="C178" s="12">
        <f t="shared" si="11"/>
        <v>0</v>
      </c>
      <c r="D178" s="13"/>
      <c r="E178" s="12">
        <v>0.0</v>
      </c>
      <c r="F178" s="12">
        <v>0.0</v>
      </c>
      <c r="G178" s="12">
        <v>0.0</v>
      </c>
      <c r="H178" s="12">
        <v>0.0</v>
      </c>
      <c r="I178" s="12">
        <v>0.0</v>
      </c>
      <c r="J178" s="12">
        <v>0.0</v>
      </c>
      <c r="K178" s="12">
        <v>0.0</v>
      </c>
      <c r="L178" s="12">
        <v>0.0</v>
      </c>
    </row>
    <row r="179">
      <c r="A179" s="10">
        <v>4.0</v>
      </c>
      <c r="B179" s="11" t="s">
        <v>19</v>
      </c>
      <c r="C179" s="12">
        <f t="shared" si="11"/>
        <v>0</v>
      </c>
      <c r="D179" s="13"/>
      <c r="E179" s="12">
        <v>0.0</v>
      </c>
      <c r="F179" s="12">
        <v>0.0</v>
      </c>
      <c r="G179" s="12">
        <v>0.0</v>
      </c>
      <c r="H179" s="12">
        <v>0.0</v>
      </c>
      <c r="I179" s="12">
        <v>0.0</v>
      </c>
      <c r="J179" s="12">
        <v>0.0</v>
      </c>
      <c r="K179" s="12">
        <v>0.0</v>
      </c>
      <c r="L179" s="12">
        <v>0.0</v>
      </c>
    </row>
    <row r="180">
      <c r="A180" s="10">
        <v>5.0</v>
      </c>
      <c r="B180" s="11" t="s">
        <v>20</v>
      </c>
      <c r="C180" s="12">
        <f t="shared" si="11"/>
        <v>5</v>
      </c>
      <c r="D180" s="13"/>
      <c r="E180" s="12">
        <v>5.0</v>
      </c>
      <c r="F180" s="12">
        <v>0.0</v>
      </c>
      <c r="G180" s="12">
        <v>0.0</v>
      </c>
      <c r="H180" s="12">
        <v>0.0</v>
      </c>
      <c r="I180" s="12">
        <v>0.0</v>
      </c>
      <c r="J180" s="12">
        <v>0.0</v>
      </c>
      <c r="K180" s="12">
        <v>0.0</v>
      </c>
      <c r="L180" s="12">
        <v>0.0</v>
      </c>
    </row>
    <row r="181">
      <c r="A181" s="10">
        <v>6.0</v>
      </c>
      <c r="B181" s="14" t="s">
        <v>21</v>
      </c>
      <c r="C181" s="12">
        <f t="shared" si="11"/>
        <v>0</v>
      </c>
      <c r="D181" s="13"/>
      <c r="E181" s="12">
        <v>0.0</v>
      </c>
      <c r="F181" s="12">
        <v>0.0</v>
      </c>
      <c r="G181" s="12">
        <v>0.0</v>
      </c>
      <c r="H181" s="12">
        <v>0.0</v>
      </c>
      <c r="I181" s="12">
        <v>0.0</v>
      </c>
      <c r="J181" s="12">
        <v>0.0</v>
      </c>
      <c r="K181" s="12">
        <v>0.0</v>
      </c>
      <c r="L181" s="12">
        <v>0.0</v>
      </c>
    </row>
    <row r="182">
      <c r="A182" s="10">
        <v>7.0</v>
      </c>
      <c r="B182" s="11" t="s">
        <v>23</v>
      </c>
      <c r="C182" s="12">
        <f t="shared" si="11"/>
        <v>0</v>
      </c>
      <c r="D182" s="13"/>
      <c r="E182" s="12">
        <v>0.0</v>
      </c>
      <c r="F182" s="12">
        <v>0.0</v>
      </c>
      <c r="G182" s="12">
        <v>0.0</v>
      </c>
      <c r="H182" s="12">
        <v>0.0</v>
      </c>
      <c r="I182" s="12">
        <v>0.0</v>
      </c>
      <c r="J182" s="12">
        <v>0.0</v>
      </c>
      <c r="K182" s="12">
        <v>0.0</v>
      </c>
      <c r="L182" s="12">
        <v>0.0</v>
      </c>
    </row>
    <row r="183">
      <c r="A183" s="10">
        <v>8.0</v>
      </c>
      <c r="B183" s="11" t="s">
        <v>25</v>
      </c>
      <c r="C183" s="12">
        <f t="shared" si="11"/>
        <v>0</v>
      </c>
      <c r="D183" s="13"/>
      <c r="E183" s="12">
        <v>0.0</v>
      </c>
      <c r="F183" s="12">
        <v>0.0</v>
      </c>
      <c r="G183" s="12">
        <v>0.0</v>
      </c>
      <c r="H183" s="12">
        <v>0.0</v>
      </c>
      <c r="I183" s="12">
        <v>0.0</v>
      </c>
      <c r="J183" s="12">
        <v>0.0</v>
      </c>
      <c r="K183" s="12">
        <v>0.0</v>
      </c>
      <c r="L183" s="12">
        <v>0.0</v>
      </c>
    </row>
    <row r="184">
      <c r="A184" s="10">
        <v>9.0</v>
      </c>
      <c r="B184" s="11" t="s">
        <v>26</v>
      </c>
      <c r="C184" s="12">
        <f t="shared" si="11"/>
        <v>0</v>
      </c>
      <c r="D184" s="13"/>
      <c r="E184" s="12">
        <v>0.0</v>
      </c>
      <c r="F184" s="12">
        <v>0.0</v>
      </c>
      <c r="G184" s="12">
        <v>0.0</v>
      </c>
      <c r="H184" s="12">
        <v>0.0</v>
      </c>
      <c r="I184" s="12">
        <v>0.0</v>
      </c>
      <c r="J184" s="12">
        <v>0.0</v>
      </c>
      <c r="K184" s="12">
        <v>0.0</v>
      </c>
      <c r="L184" s="12">
        <v>0.0</v>
      </c>
    </row>
    <row r="185">
      <c r="A185" s="10">
        <v>10.0</v>
      </c>
      <c r="B185" s="14" t="s">
        <v>27</v>
      </c>
      <c r="C185" s="12">
        <f t="shared" si="11"/>
        <v>0</v>
      </c>
      <c r="D185" s="13"/>
      <c r="E185" s="12">
        <v>0.0</v>
      </c>
      <c r="F185" s="12">
        <v>0.0</v>
      </c>
      <c r="G185" s="12">
        <v>0.0</v>
      </c>
      <c r="H185" s="12">
        <v>0.0</v>
      </c>
      <c r="I185" s="12">
        <v>0.0</v>
      </c>
      <c r="J185" s="12">
        <v>0.0</v>
      </c>
      <c r="K185" s="12">
        <v>0.0</v>
      </c>
      <c r="L185" s="12">
        <v>0.0</v>
      </c>
    </row>
    <row r="186">
      <c r="A186" s="10">
        <v>11.0</v>
      </c>
      <c r="B186" s="11" t="s">
        <v>28</v>
      </c>
      <c r="C186" s="12">
        <f t="shared" si="11"/>
        <v>0</v>
      </c>
      <c r="D186" s="13"/>
      <c r="E186" s="12">
        <v>0.0</v>
      </c>
      <c r="F186" s="12">
        <v>0.0</v>
      </c>
      <c r="G186" s="12">
        <v>0.0</v>
      </c>
      <c r="H186" s="12">
        <v>0.0</v>
      </c>
      <c r="I186" s="12">
        <v>0.0</v>
      </c>
      <c r="J186" s="12">
        <v>0.0</v>
      </c>
      <c r="K186" s="12">
        <v>0.0</v>
      </c>
      <c r="L186" s="12">
        <v>0.0</v>
      </c>
    </row>
    <row r="187">
      <c r="A187" s="27">
        <v>12.0</v>
      </c>
      <c r="B187" s="17" t="s">
        <v>29</v>
      </c>
      <c r="C187" s="7">
        <f t="shared" si="11"/>
        <v>8</v>
      </c>
      <c r="D187" s="13"/>
      <c r="E187" s="7">
        <v>0.0</v>
      </c>
      <c r="F187" s="7">
        <v>8.0</v>
      </c>
      <c r="G187" s="7">
        <v>0.0</v>
      </c>
      <c r="H187" s="7">
        <v>0.0</v>
      </c>
      <c r="I187" s="7">
        <v>0.0</v>
      </c>
      <c r="J187" s="7">
        <v>0.0</v>
      </c>
      <c r="K187" s="7">
        <v>0.0</v>
      </c>
      <c r="L187" s="7">
        <v>0.0</v>
      </c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>
      <c r="A188" s="10">
        <v>13.0</v>
      </c>
      <c r="B188" s="11" t="s">
        <v>30</v>
      </c>
      <c r="C188" s="12">
        <f t="shared" si="11"/>
        <v>0</v>
      </c>
      <c r="D188" s="13"/>
      <c r="E188" s="12">
        <v>0.0</v>
      </c>
      <c r="F188" s="12">
        <v>0.0</v>
      </c>
      <c r="G188" s="12">
        <v>0.0</v>
      </c>
      <c r="H188" s="12">
        <v>0.0</v>
      </c>
      <c r="I188" s="12">
        <v>0.0</v>
      </c>
      <c r="J188" s="12">
        <v>0.0</v>
      </c>
      <c r="K188" s="12">
        <v>0.0</v>
      </c>
      <c r="L188" s="12">
        <v>0.0</v>
      </c>
    </row>
    <row r="189">
      <c r="A189" s="10">
        <v>14.0</v>
      </c>
      <c r="B189" s="11" t="s">
        <v>31</v>
      </c>
      <c r="C189" s="12">
        <f t="shared" si="11"/>
        <v>0</v>
      </c>
      <c r="D189" s="13"/>
      <c r="E189" s="12">
        <v>0.0</v>
      </c>
      <c r="F189" s="12">
        <v>0.0</v>
      </c>
      <c r="G189" s="12">
        <v>0.0</v>
      </c>
      <c r="H189" s="12">
        <v>0.0</v>
      </c>
      <c r="I189" s="12">
        <v>0.0</v>
      </c>
      <c r="J189" s="12">
        <v>0.0</v>
      </c>
      <c r="K189" s="12">
        <v>0.0</v>
      </c>
      <c r="L189" s="12">
        <v>0.0</v>
      </c>
    </row>
    <row r="190">
      <c r="A190" s="10">
        <v>15.0</v>
      </c>
      <c r="B190" s="11" t="s">
        <v>32</v>
      </c>
      <c r="C190" s="12">
        <f t="shared" si="11"/>
        <v>0</v>
      </c>
      <c r="D190" s="13"/>
      <c r="E190" s="12">
        <v>0.0</v>
      </c>
      <c r="F190" s="12">
        <v>0.0</v>
      </c>
      <c r="G190" s="12">
        <v>0.0</v>
      </c>
      <c r="H190" s="12">
        <v>0.0</v>
      </c>
      <c r="I190" s="12">
        <v>0.0</v>
      </c>
      <c r="J190" s="12">
        <v>0.0</v>
      </c>
      <c r="K190" s="12">
        <v>0.0</v>
      </c>
      <c r="L190" s="12">
        <v>0.0</v>
      </c>
    </row>
    <row r="191">
      <c r="A191" s="10">
        <v>16.0</v>
      </c>
      <c r="B191" s="14" t="s">
        <v>33</v>
      </c>
      <c r="C191" s="12">
        <f t="shared" si="11"/>
        <v>0</v>
      </c>
      <c r="D191" s="13"/>
      <c r="E191" s="12">
        <v>0.0</v>
      </c>
      <c r="F191" s="12">
        <v>0.0</v>
      </c>
      <c r="G191" s="12">
        <v>0.0</v>
      </c>
      <c r="H191" s="12">
        <v>0.0</v>
      </c>
      <c r="I191" s="12">
        <v>0.0</v>
      </c>
      <c r="J191" s="12">
        <v>0.0</v>
      </c>
      <c r="K191" s="12">
        <v>0.0</v>
      </c>
      <c r="L191" s="12">
        <v>0.0</v>
      </c>
    </row>
    <row r="192">
      <c r="A192" s="27">
        <v>17.0</v>
      </c>
      <c r="B192" s="29" t="s">
        <v>34</v>
      </c>
      <c r="C192" s="7">
        <f t="shared" si="11"/>
        <v>5</v>
      </c>
      <c r="D192" s="13"/>
      <c r="E192" s="7">
        <v>0.0</v>
      </c>
      <c r="F192" s="7">
        <v>5.0</v>
      </c>
      <c r="G192" s="7">
        <v>0.0</v>
      </c>
      <c r="H192" s="7">
        <v>0.0</v>
      </c>
      <c r="I192" s="7">
        <v>0.0</v>
      </c>
      <c r="J192" s="7">
        <v>0.0</v>
      </c>
      <c r="K192" s="7">
        <v>0.0</v>
      </c>
      <c r="L192" s="7">
        <v>0.0</v>
      </c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>
      <c r="A193" s="10">
        <v>18.0</v>
      </c>
      <c r="B193" s="14" t="s">
        <v>35</v>
      </c>
      <c r="C193" s="12">
        <f t="shared" si="11"/>
        <v>0</v>
      </c>
      <c r="D193" s="13"/>
      <c r="E193" s="12">
        <v>0.0</v>
      </c>
      <c r="F193" s="12">
        <v>0.0</v>
      </c>
      <c r="G193" s="12">
        <v>0.0</v>
      </c>
      <c r="H193" s="12">
        <v>0.0</v>
      </c>
      <c r="I193" s="12">
        <v>0.0</v>
      </c>
      <c r="J193" s="12">
        <v>0.0</v>
      </c>
      <c r="K193" s="12">
        <v>0.0</v>
      </c>
      <c r="L193" s="12">
        <v>0.0</v>
      </c>
    </row>
    <row r="194">
      <c r="A194" s="16">
        <v>19.0</v>
      </c>
      <c r="B194" s="11" t="s">
        <v>36</v>
      </c>
      <c r="C194" s="12">
        <f t="shared" si="11"/>
        <v>0</v>
      </c>
      <c r="D194" s="13"/>
      <c r="E194" s="12">
        <v>0.0</v>
      </c>
      <c r="F194" s="12">
        <v>0.0</v>
      </c>
      <c r="G194" s="12">
        <v>0.0</v>
      </c>
      <c r="H194" s="12">
        <v>0.0</v>
      </c>
      <c r="I194" s="12">
        <v>0.0</v>
      </c>
      <c r="J194" s="12">
        <v>0.0</v>
      </c>
      <c r="K194" s="12">
        <v>0.0</v>
      </c>
      <c r="L194" s="12">
        <v>0.0</v>
      </c>
    </row>
    <row r="195">
      <c r="A195" s="16">
        <v>20.0</v>
      </c>
      <c r="B195" s="14" t="s">
        <v>37</v>
      </c>
      <c r="C195" s="12">
        <f t="shared" si="11"/>
        <v>0</v>
      </c>
      <c r="D195" s="13"/>
      <c r="E195" s="12">
        <v>0.0</v>
      </c>
      <c r="F195" s="12">
        <v>0.0</v>
      </c>
      <c r="G195" s="12">
        <v>0.0</v>
      </c>
      <c r="H195" s="12">
        <v>0.0</v>
      </c>
      <c r="I195" s="12">
        <v>0.0</v>
      </c>
      <c r="J195" s="12">
        <v>0.0</v>
      </c>
      <c r="K195" s="12">
        <v>0.0</v>
      </c>
      <c r="L195" s="12">
        <v>0.0</v>
      </c>
    </row>
    <row r="196">
      <c r="A196" s="10">
        <v>21.0</v>
      </c>
      <c r="B196" s="11" t="s">
        <v>38</v>
      </c>
      <c r="C196" s="12">
        <f t="shared" si="11"/>
        <v>0</v>
      </c>
      <c r="D196" s="13"/>
      <c r="E196" s="12">
        <v>0.0</v>
      </c>
      <c r="F196" s="12">
        <v>0.0</v>
      </c>
      <c r="G196" s="12">
        <v>0.0</v>
      </c>
      <c r="H196" s="12">
        <v>0.0</v>
      </c>
      <c r="I196" s="12">
        <v>0.0</v>
      </c>
      <c r="J196" s="12">
        <v>0.0</v>
      </c>
      <c r="K196" s="12">
        <v>0.0</v>
      </c>
      <c r="L196" s="12">
        <v>0.0</v>
      </c>
    </row>
    <row r="197">
      <c r="A197" s="10">
        <v>22.0</v>
      </c>
      <c r="B197" s="11" t="s">
        <v>39</v>
      </c>
      <c r="C197" s="12">
        <f t="shared" si="11"/>
        <v>0</v>
      </c>
      <c r="D197" s="13"/>
      <c r="E197" s="12">
        <v>0.0</v>
      </c>
      <c r="F197" s="12">
        <v>0.0</v>
      </c>
      <c r="G197" s="12">
        <v>0.0</v>
      </c>
      <c r="H197" s="12">
        <v>0.0</v>
      </c>
      <c r="I197" s="12">
        <v>0.0</v>
      </c>
      <c r="J197" s="12">
        <v>0.0</v>
      </c>
      <c r="K197" s="12">
        <v>0.0</v>
      </c>
      <c r="L197" s="12">
        <v>0.0</v>
      </c>
    </row>
    <row r="198">
      <c r="A198" s="10">
        <v>23.0</v>
      </c>
      <c r="B198" s="14" t="s">
        <v>40</v>
      </c>
      <c r="C198" s="12">
        <f t="shared" si="11"/>
        <v>0</v>
      </c>
      <c r="D198" s="13"/>
      <c r="E198" s="12">
        <v>0.0</v>
      </c>
      <c r="F198" s="12">
        <v>0.0</v>
      </c>
      <c r="G198" s="12">
        <v>0.0</v>
      </c>
      <c r="H198" s="12">
        <v>0.0</v>
      </c>
      <c r="I198" s="12">
        <v>0.0</v>
      </c>
      <c r="J198" s="12">
        <v>0.0</v>
      </c>
      <c r="K198" s="12">
        <v>0.0</v>
      </c>
      <c r="L198" s="12">
        <v>0.0</v>
      </c>
    </row>
    <row r="199">
      <c r="A199" s="10">
        <v>24.0</v>
      </c>
      <c r="B199" s="14" t="s">
        <v>42</v>
      </c>
      <c r="C199" s="12">
        <f t="shared" si="11"/>
        <v>0</v>
      </c>
      <c r="D199" s="13"/>
      <c r="E199" s="12">
        <v>0.0</v>
      </c>
      <c r="F199" s="12">
        <v>0.0</v>
      </c>
      <c r="G199" s="12">
        <v>0.0</v>
      </c>
      <c r="H199" s="12">
        <v>0.0</v>
      </c>
      <c r="I199" s="12">
        <v>0.0</v>
      </c>
      <c r="J199" s="12">
        <v>0.0</v>
      </c>
      <c r="K199" s="12">
        <v>0.0</v>
      </c>
      <c r="L199" s="12">
        <v>0.0</v>
      </c>
    </row>
    <row r="200">
      <c r="A200" s="10">
        <v>25.0</v>
      </c>
      <c r="B200" s="14" t="s">
        <v>43</v>
      </c>
      <c r="C200" s="12">
        <f t="shared" si="11"/>
        <v>0</v>
      </c>
      <c r="D200" s="13"/>
      <c r="E200" s="12">
        <v>0.0</v>
      </c>
      <c r="F200" s="12">
        <v>0.0</v>
      </c>
      <c r="G200" s="12">
        <v>0.0</v>
      </c>
      <c r="H200" s="12">
        <v>0.0</v>
      </c>
      <c r="I200" s="12">
        <v>0.0</v>
      </c>
      <c r="J200" s="12">
        <v>0.0</v>
      </c>
      <c r="K200" s="12">
        <v>0.0</v>
      </c>
      <c r="L200" s="12">
        <v>0.0</v>
      </c>
    </row>
    <row r="201">
      <c r="A201" s="10">
        <v>26.0</v>
      </c>
      <c r="B201" s="11" t="s">
        <v>44</v>
      </c>
      <c r="C201" s="12">
        <f t="shared" si="11"/>
        <v>0</v>
      </c>
      <c r="D201" s="13"/>
      <c r="E201" s="12">
        <v>0.0</v>
      </c>
      <c r="F201" s="12">
        <v>0.0</v>
      </c>
      <c r="G201" s="12">
        <v>0.0</v>
      </c>
      <c r="H201" s="12">
        <v>0.0</v>
      </c>
      <c r="I201" s="12">
        <v>0.0</v>
      </c>
      <c r="J201" s="12">
        <v>0.0</v>
      </c>
      <c r="K201" s="12">
        <v>0.0</v>
      </c>
      <c r="L201" s="12">
        <v>0.0</v>
      </c>
    </row>
    <row r="202">
      <c r="A202" s="10">
        <v>27.0</v>
      </c>
      <c r="B202" s="11" t="s">
        <v>45</v>
      </c>
      <c r="C202" s="12">
        <f t="shared" si="11"/>
        <v>0</v>
      </c>
      <c r="D202" s="13"/>
      <c r="E202" s="12">
        <v>0.0</v>
      </c>
      <c r="F202" s="12">
        <v>0.0</v>
      </c>
      <c r="G202" s="12">
        <v>0.0</v>
      </c>
      <c r="H202" s="12">
        <v>0.0</v>
      </c>
      <c r="I202" s="12">
        <v>0.0</v>
      </c>
      <c r="J202" s="12">
        <v>0.0</v>
      </c>
      <c r="K202" s="12">
        <v>0.0</v>
      </c>
      <c r="L202" s="12">
        <v>0.0</v>
      </c>
    </row>
    <row r="203">
      <c r="A203" s="10">
        <v>28.0</v>
      </c>
      <c r="B203" s="17" t="s">
        <v>46</v>
      </c>
      <c r="C203" s="12">
        <f t="shared" si="11"/>
        <v>0</v>
      </c>
      <c r="D203" s="13"/>
      <c r="E203" s="12">
        <v>0.0</v>
      </c>
      <c r="F203" s="12">
        <v>0.0</v>
      </c>
      <c r="G203" s="12">
        <v>0.0</v>
      </c>
      <c r="H203" s="12">
        <v>0.0</v>
      </c>
      <c r="I203" s="12">
        <v>0.0</v>
      </c>
      <c r="J203" s="12">
        <v>0.0</v>
      </c>
      <c r="K203" s="12">
        <v>0.0</v>
      </c>
      <c r="L203" s="12">
        <v>0.0</v>
      </c>
    </row>
    <row r="204">
      <c r="A204" s="10">
        <v>29.0</v>
      </c>
      <c r="B204" s="11" t="s">
        <v>15</v>
      </c>
      <c r="C204" s="12">
        <f t="shared" si="11"/>
        <v>0</v>
      </c>
      <c r="D204" s="13"/>
      <c r="E204" s="12">
        <v>0.0</v>
      </c>
      <c r="F204" s="12">
        <v>0.0</v>
      </c>
      <c r="G204" s="12">
        <v>0.0</v>
      </c>
      <c r="H204" s="12">
        <v>0.0</v>
      </c>
      <c r="I204" s="12">
        <v>0.0</v>
      </c>
      <c r="J204" s="12">
        <v>0.0</v>
      </c>
      <c r="K204" s="12">
        <v>0.0</v>
      </c>
      <c r="L204" s="12">
        <v>0.0</v>
      </c>
    </row>
    <row r="205">
      <c r="A205" s="10">
        <v>30.0</v>
      </c>
      <c r="B205" s="11" t="s">
        <v>47</v>
      </c>
      <c r="C205" s="12">
        <f t="shared" si="11"/>
        <v>0</v>
      </c>
      <c r="D205" s="18"/>
      <c r="E205" s="12">
        <v>0.0</v>
      </c>
      <c r="F205" s="12">
        <v>0.0</v>
      </c>
      <c r="G205" s="12">
        <v>0.0</v>
      </c>
      <c r="H205" s="12">
        <v>0.0</v>
      </c>
      <c r="I205" s="12">
        <v>0.0</v>
      </c>
      <c r="J205" s="12">
        <v>0.0</v>
      </c>
      <c r="K205" s="12">
        <v>0.0</v>
      </c>
      <c r="L205" s="12">
        <v>0.0</v>
      </c>
    </row>
    <row r="206">
      <c r="A206" s="30" t="s">
        <v>72</v>
      </c>
      <c r="B206" s="3"/>
      <c r="C206" s="20">
        <f>SUM(C176:C205)</f>
        <v>20</v>
      </c>
      <c r="D206" s="21"/>
      <c r="E206" s="20">
        <f t="shared" ref="E206:L206" si="12">SUM(E176:E205)</f>
        <v>5</v>
      </c>
      <c r="F206" s="20">
        <f t="shared" si="12"/>
        <v>13</v>
      </c>
      <c r="G206" s="20">
        <f t="shared" si="12"/>
        <v>0</v>
      </c>
      <c r="H206" s="44">
        <f t="shared" si="12"/>
        <v>0</v>
      </c>
      <c r="I206" s="20">
        <f t="shared" si="12"/>
        <v>2</v>
      </c>
      <c r="J206" s="20">
        <f t="shared" si="12"/>
        <v>0</v>
      </c>
      <c r="K206" s="20">
        <f t="shared" si="12"/>
        <v>0</v>
      </c>
      <c r="L206" s="20">
        <f t="shared" si="12"/>
        <v>0</v>
      </c>
    </row>
    <row r="207">
      <c r="A207" s="45" t="s">
        <v>73</v>
      </c>
      <c r="B207" s="2"/>
      <c r="C207" s="3"/>
      <c r="D207" s="21"/>
      <c r="E207" s="20">
        <f>C172+C206</f>
        <v>126</v>
      </c>
      <c r="F207" s="46"/>
      <c r="G207" s="2"/>
      <c r="H207" s="2"/>
      <c r="I207" s="2"/>
      <c r="J207" s="2"/>
      <c r="K207" s="2"/>
      <c r="L207" s="3"/>
    </row>
    <row r="208">
      <c r="A208" s="2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/>
    </row>
    <row r="209">
      <c r="A209" s="35" t="s">
        <v>74</v>
      </c>
      <c r="B209" s="2"/>
      <c r="C209" s="3"/>
      <c r="D209" s="47"/>
      <c r="E209" s="6" t="s">
        <v>75</v>
      </c>
      <c r="F209" s="2"/>
      <c r="G209" s="2"/>
      <c r="H209" s="2"/>
      <c r="I209" s="2"/>
      <c r="J209" s="2"/>
      <c r="K209" s="2"/>
      <c r="L209" s="3"/>
    </row>
    <row r="210">
      <c r="A210" s="22" t="s">
        <v>5</v>
      </c>
      <c r="B210" s="22" t="s">
        <v>76</v>
      </c>
      <c r="C210" s="22" t="s">
        <v>7</v>
      </c>
      <c r="D210" s="48"/>
      <c r="E210" s="9" t="s">
        <v>8</v>
      </c>
      <c r="F210" s="9" t="s">
        <v>9</v>
      </c>
      <c r="G210" s="9" t="s">
        <v>10</v>
      </c>
      <c r="H210" s="9" t="s">
        <v>11</v>
      </c>
      <c r="I210" s="9" t="s">
        <v>12</v>
      </c>
      <c r="J210" s="9" t="s">
        <v>13</v>
      </c>
      <c r="K210" s="9" t="s">
        <v>14</v>
      </c>
      <c r="L210" s="9" t="s">
        <v>15</v>
      </c>
    </row>
    <row r="211">
      <c r="A211" s="49">
        <v>1.0</v>
      </c>
      <c r="B211" s="49" t="s">
        <v>29</v>
      </c>
      <c r="C211" s="50">
        <f t="shared" ref="C211:C213" si="13">E211+F211+G211+H211+I211+J211+K211+L211</f>
        <v>0</v>
      </c>
      <c r="D211" s="13"/>
      <c r="E211" s="49">
        <v>0.0</v>
      </c>
      <c r="F211" s="49">
        <v>0.0</v>
      </c>
      <c r="G211" s="49">
        <v>0.0</v>
      </c>
      <c r="H211" s="49">
        <v>0.0</v>
      </c>
      <c r="I211" s="49">
        <v>0.0</v>
      </c>
      <c r="J211" s="49">
        <v>0.0</v>
      </c>
      <c r="K211" s="49">
        <v>0.0</v>
      </c>
      <c r="L211" s="49">
        <v>0.0</v>
      </c>
    </row>
    <row r="212">
      <c r="A212" s="49">
        <v>2.0</v>
      </c>
      <c r="B212" s="49" t="s">
        <v>34</v>
      </c>
      <c r="C212" s="50">
        <f t="shared" si="13"/>
        <v>0</v>
      </c>
      <c r="D212" s="13"/>
      <c r="E212" s="49">
        <v>0.0</v>
      </c>
      <c r="F212" s="49">
        <v>0.0</v>
      </c>
      <c r="G212" s="49">
        <v>0.0</v>
      </c>
      <c r="H212" s="49">
        <v>0.0</v>
      </c>
      <c r="I212" s="49">
        <v>0.0</v>
      </c>
      <c r="J212" s="49">
        <v>0.0</v>
      </c>
      <c r="K212" s="49">
        <v>0.0</v>
      </c>
      <c r="L212" s="49">
        <v>0.0</v>
      </c>
    </row>
    <row r="213">
      <c r="A213" s="49">
        <v>3.0</v>
      </c>
      <c r="B213" s="49" t="s">
        <v>14</v>
      </c>
      <c r="C213" s="50">
        <f t="shared" si="13"/>
        <v>0</v>
      </c>
      <c r="D213" s="13"/>
      <c r="E213" s="49">
        <v>0.0</v>
      </c>
      <c r="F213" s="49">
        <v>0.0</v>
      </c>
      <c r="G213" s="49">
        <v>0.0</v>
      </c>
      <c r="H213" s="49">
        <v>0.0</v>
      </c>
      <c r="I213" s="49">
        <v>0.0</v>
      </c>
      <c r="J213" s="49">
        <v>0.0</v>
      </c>
      <c r="K213" s="49">
        <v>0.0</v>
      </c>
      <c r="L213" s="49">
        <v>0.0</v>
      </c>
    </row>
    <row r="214">
      <c r="A214" s="35" t="s">
        <v>77</v>
      </c>
      <c r="B214" s="3"/>
      <c r="C214" s="20">
        <f>SUM(C211:C213)</f>
        <v>0</v>
      </c>
      <c r="D214" s="21"/>
      <c r="E214" s="20">
        <f t="shared" ref="E214:L214" si="14">SUM(E211:E213)</f>
        <v>0</v>
      </c>
      <c r="F214" s="20">
        <f t="shared" si="14"/>
        <v>0</v>
      </c>
      <c r="G214" s="20">
        <f t="shared" si="14"/>
        <v>0</v>
      </c>
      <c r="H214" s="20">
        <f t="shared" si="14"/>
        <v>0</v>
      </c>
      <c r="I214" s="20">
        <f t="shared" si="14"/>
        <v>0</v>
      </c>
      <c r="J214" s="20">
        <f t="shared" si="14"/>
        <v>0</v>
      </c>
      <c r="K214" s="20">
        <f t="shared" si="14"/>
        <v>0</v>
      </c>
      <c r="L214" s="20">
        <f t="shared" si="14"/>
        <v>0</v>
      </c>
    </row>
    <row r="215">
      <c r="A215" s="2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3"/>
    </row>
    <row r="216">
      <c r="A216" s="39" t="s">
        <v>78</v>
      </c>
      <c r="B216" s="2"/>
      <c r="C216" s="3"/>
      <c r="D216" s="51"/>
      <c r="E216" s="26" t="s">
        <v>79</v>
      </c>
      <c r="F216" s="2"/>
      <c r="G216" s="2"/>
      <c r="H216" s="2"/>
      <c r="I216" s="2"/>
      <c r="J216" s="2"/>
      <c r="K216" s="2"/>
      <c r="L216" s="3"/>
    </row>
    <row r="217">
      <c r="A217" s="22" t="s">
        <v>5</v>
      </c>
      <c r="B217" s="22" t="s">
        <v>76</v>
      </c>
      <c r="C217" s="22" t="s">
        <v>7</v>
      </c>
      <c r="D217" s="48"/>
      <c r="E217" s="9" t="s">
        <v>8</v>
      </c>
      <c r="F217" s="9" t="s">
        <v>9</v>
      </c>
      <c r="G217" s="9" t="s">
        <v>10</v>
      </c>
      <c r="H217" s="9" t="s">
        <v>11</v>
      </c>
      <c r="I217" s="9" t="s">
        <v>12</v>
      </c>
      <c r="J217" s="9" t="s">
        <v>13</v>
      </c>
      <c r="K217" s="9" t="s">
        <v>14</v>
      </c>
      <c r="L217" s="9" t="s">
        <v>15</v>
      </c>
    </row>
    <row r="218">
      <c r="A218" s="49">
        <v>1.0</v>
      </c>
      <c r="B218" s="49" t="s">
        <v>29</v>
      </c>
      <c r="C218" s="50">
        <f t="shared" ref="C218:C220" si="15">E218+F218+G218+H218+I218+J218+K218+L218</f>
        <v>5</v>
      </c>
      <c r="D218" s="13"/>
      <c r="E218" s="49">
        <v>0.0</v>
      </c>
      <c r="F218" s="49">
        <v>5.0</v>
      </c>
      <c r="G218" s="49">
        <v>0.0</v>
      </c>
      <c r="H218" s="49">
        <v>0.0</v>
      </c>
      <c r="I218" s="49">
        <v>0.0</v>
      </c>
      <c r="J218" s="49">
        <v>0.0</v>
      </c>
      <c r="K218" s="49">
        <v>0.0</v>
      </c>
      <c r="L218" s="49">
        <v>0.0</v>
      </c>
    </row>
    <row r="219">
      <c r="A219" s="49">
        <v>2.0</v>
      </c>
      <c r="B219" s="49" t="s">
        <v>34</v>
      </c>
      <c r="C219" s="50">
        <f t="shared" si="15"/>
        <v>3</v>
      </c>
      <c r="D219" s="13"/>
      <c r="E219" s="49">
        <v>0.0</v>
      </c>
      <c r="F219" s="49">
        <v>3.0</v>
      </c>
      <c r="G219" s="49">
        <v>0.0</v>
      </c>
      <c r="H219" s="49">
        <v>0.0</v>
      </c>
      <c r="I219" s="49">
        <v>0.0</v>
      </c>
      <c r="J219" s="49">
        <v>0.0</v>
      </c>
      <c r="K219" s="49">
        <v>0.0</v>
      </c>
      <c r="L219" s="49">
        <v>0.0</v>
      </c>
    </row>
    <row r="220">
      <c r="A220" s="49">
        <v>3.0</v>
      </c>
      <c r="B220" s="49" t="s">
        <v>14</v>
      </c>
      <c r="C220" s="50">
        <f t="shared" si="15"/>
        <v>0</v>
      </c>
      <c r="D220" s="13"/>
      <c r="E220" s="49">
        <v>0.0</v>
      </c>
      <c r="F220" s="49">
        <v>0.0</v>
      </c>
      <c r="G220" s="49">
        <v>0.0</v>
      </c>
      <c r="H220" s="49">
        <v>0.0</v>
      </c>
      <c r="I220" s="49">
        <v>0.0</v>
      </c>
      <c r="J220" s="49">
        <v>0.0</v>
      </c>
      <c r="K220" s="49">
        <v>0.0</v>
      </c>
      <c r="L220" s="49">
        <v>0.0</v>
      </c>
    </row>
    <row r="221">
      <c r="A221" s="30" t="s">
        <v>80</v>
      </c>
      <c r="B221" s="3"/>
      <c r="C221" s="20">
        <f>SUM(C218:C220)</f>
        <v>8</v>
      </c>
      <c r="D221" s="21"/>
      <c r="E221" s="20">
        <f>SUM(E218:E220)</f>
        <v>0</v>
      </c>
      <c r="F221" s="22">
        <v>0.0</v>
      </c>
      <c r="G221" s="20">
        <f t="shared" ref="G221:L221" si="16">SUM(G218:G220)</f>
        <v>0</v>
      </c>
      <c r="H221" s="20">
        <f t="shared" si="16"/>
        <v>0</v>
      </c>
      <c r="I221" s="20">
        <f t="shared" si="16"/>
        <v>0</v>
      </c>
      <c r="J221" s="20">
        <f t="shared" si="16"/>
        <v>0</v>
      </c>
      <c r="K221" s="20">
        <f t="shared" si="16"/>
        <v>0</v>
      </c>
      <c r="L221" s="20">
        <f t="shared" si="16"/>
        <v>0</v>
      </c>
    </row>
    <row r="222">
      <c r="A222" s="45" t="s">
        <v>81</v>
      </c>
      <c r="B222" s="2"/>
      <c r="C222" s="3"/>
      <c r="D222" s="21"/>
      <c r="E222" s="20">
        <f>C214+C221</f>
        <v>8</v>
      </c>
      <c r="F222" s="46"/>
      <c r="G222" s="2"/>
      <c r="H222" s="2"/>
      <c r="I222" s="2"/>
      <c r="J222" s="2"/>
      <c r="K222" s="2"/>
      <c r="L222" s="3"/>
    </row>
    <row r="223">
      <c r="A223" s="2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3"/>
    </row>
    <row r="224">
      <c r="A224" s="35" t="s">
        <v>82</v>
      </c>
      <c r="B224" s="2"/>
      <c r="C224" s="3"/>
      <c r="D224" s="47"/>
      <c r="E224" s="6" t="s">
        <v>83</v>
      </c>
      <c r="F224" s="2"/>
      <c r="G224" s="2"/>
      <c r="H224" s="2"/>
      <c r="I224" s="2"/>
      <c r="J224" s="2"/>
      <c r="K224" s="2"/>
      <c r="L224" s="3"/>
    </row>
    <row r="225" ht="18.0" customHeight="1">
      <c r="A225" s="22" t="s">
        <v>5</v>
      </c>
      <c r="B225" s="22" t="s">
        <v>84</v>
      </c>
      <c r="C225" s="22" t="s">
        <v>7</v>
      </c>
      <c r="D225" s="48"/>
      <c r="E225" s="9" t="s">
        <v>8</v>
      </c>
      <c r="F225" s="9" t="s">
        <v>9</v>
      </c>
      <c r="G225" s="9" t="s">
        <v>10</v>
      </c>
      <c r="H225" s="9" t="s">
        <v>11</v>
      </c>
      <c r="I225" s="9" t="s">
        <v>12</v>
      </c>
      <c r="J225" s="9" t="s">
        <v>13</v>
      </c>
      <c r="K225" s="9" t="s">
        <v>14</v>
      </c>
      <c r="L225" s="9" t="s">
        <v>15</v>
      </c>
    </row>
    <row r="226">
      <c r="A226" s="49">
        <v>1.0</v>
      </c>
      <c r="B226" s="49" t="s">
        <v>14</v>
      </c>
      <c r="C226" s="50">
        <f t="shared" ref="C226:C228" si="17">E226+F226+G226+H226+I226+J226+K226+L226</f>
        <v>0</v>
      </c>
      <c r="D226" s="13"/>
      <c r="E226" s="49">
        <v>0.0</v>
      </c>
      <c r="F226" s="49">
        <v>0.0</v>
      </c>
      <c r="G226" s="49">
        <v>0.0</v>
      </c>
      <c r="H226" s="49">
        <v>0.0</v>
      </c>
      <c r="I226" s="49">
        <v>0.0</v>
      </c>
      <c r="J226" s="49">
        <v>0.0</v>
      </c>
      <c r="K226" s="49">
        <v>0.0</v>
      </c>
      <c r="L226" s="49">
        <v>0.0</v>
      </c>
    </row>
    <row r="227">
      <c r="A227" s="49">
        <v>2.0</v>
      </c>
      <c r="B227" s="49" t="s">
        <v>15</v>
      </c>
      <c r="C227" s="50">
        <f t="shared" si="17"/>
        <v>0</v>
      </c>
      <c r="D227" s="13"/>
      <c r="E227" s="49">
        <v>0.0</v>
      </c>
      <c r="F227" s="49">
        <v>0.0</v>
      </c>
      <c r="G227" s="49">
        <v>0.0</v>
      </c>
      <c r="H227" s="49">
        <v>0.0</v>
      </c>
      <c r="I227" s="49">
        <v>0.0</v>
      </c>
      <c r="J227" s="49">
        <v>0.0</v>
      </c>
      <c r="K227" s="49">
        <v>0.0</v>
      </c>
      <c r="L227" s="49">
        <v>0.0</v>
      </c>
    </row>
    <row r="228">
      <c r="A228" s="49">
        <v>3.0</v>
      </c>
      <c r="B228" s="49" t="s">
        <v>47</v>
      </c>
      <c r="C228" s="50">
        <f t="shared" si="17"/>
        <v>0</v>
      </c>
      <c r="D228" s="13"/>
      <c r="E228" s="49">
        <v>0.0</v>
      </c>
      <c r="F228" s="49">
        <v>0.0</v>
      </c>
      <c r="G228" s="49">
        <v>0.0</v>
      </c>
      <c r="H228" s="49">
        <v>0.0</v>
      </c>
      <c r="I228" s="49">
        <v>0.0</v>
      </c>
      <c r="J228" s="49">
        <v>0.0</v>
      </c>
      <c r="K228" s="49">
        <v>0.0</v>
      </c>
      <c r="L228" s="49">
        <v>0.0</v>
      </c>
    </row>
    <row r="229">
      <c r="A229" s="19" t="s">
        <v>85</v>
      </c>
      <c r="B229" s="3"/>
      <c r="C229" s="20">
        <f>SUM(C226:C228)</f>
        <v>0</v>
      </c>
      <c r="D229" s="21"/>
      <c r="E229" s="20">
        <f t="shared" ref="E229:L229" si="18">SUM(E226:E228)</f>
        <v>0</v>
      </c>
      <c r="F229" s="20">
        <f t="shared" si="18"/>
        <v>0</v>
      </c>
      <c r="G229" s="20">
        <f t="shared" si="18"/>
        <v>0</v>
      </c>
      <c r="H229" s="20">
        <f t="shared" si="18"/>
        <v>0</v>
      </c>
      <c r="I229" s="20">
        <f t="shared" si="18"/>
        <v>0</v>
      </c>
      <c r="J229" s="20">
        <f t="shared" si="18"/>
        <v>0</v>
      </c>
      <c r="K229" s="20">
        <f t="shared" si="18"/>
        <v>0</v>
      </c>
      <c r="L229" s="20">
        <f t="shared" si="18"/>
        <v>0</v>
      </c>
    </row>
    <row r="230">
      <c r="A230" s="2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3"/>
    </row>
    <row r="231">
      <c r="A231" s="39" t="s">
        <v>86</v>
      </c>
      <c r="B231" s="2"/>
      <c r="C231" s="3"/>
      <c r="D231" s="51"/>
      <c r="E231" s="26" t="s">
        <v>87</v>
      </c>
      <c r="F231" s="2"/>
      <c r="G231" s="2"/>
      <c r="H231" s="2"/>
      <c r="I231" s="2"/>
      <c r="J231" s="2"/>
      <c r="K231" s="2"/>
      <c r="L231" s="3"/>
    </row>
    <row r="232">
      <c r="A232" s="22" t="s">
        <v>5</v>
      </c>
      <c r="B232" s="22" t="s">
        <v>76</v>
      </c>
      <c r="C232" s="22" t="s">
        <v>7</v>
      </c>
      <c r="D232" s="48"/>
      <c r="E232" s="9" t="s">
        <v>8</v>
      </c>
      <c r="F232" s="9" t="s">
        <v>9</v>
      </c>
      <c r="G232" s="9" t="s">
        <v>10</v>
      </c>
      <c r="H232" s="9" t="s">
        <v>11</v>
      </c>
      <c r="I232" s="9" t="s">
        <v>12</v>
      </c>
      <c r="J232" s="9" t="s">
        <v>13</v>
      </c>
      <c r="K232" s="9" t="s">
        <v>14</v>
      </c>
      <c r="L232" s="9" t="s">
        <v>15</v>
      </c>
    </row>
    <row r="233">
      <c r="A233" s="49">
        <v>1.0</v>
      </c>
      <c r="B233" s="49" t="s">
        <v>29</v>
      </c>
      <c r="C233" s="50">
        <f t="shared" ref="C233:C235" si="19">E233+F233+G233+H233+I233+J233+K233+L233</f>
        <v>0</v>
      </c>
      <c r="D233" s="13"/>
      <c r="E233" s="49">
        <v>0.0</v>
      </c>
      <c r="F233" s="49">
        <v>0.0</v>
      </c>
      <c r="G233" s="49">
        <v>0.0</v>
      </c>
      <c r="H233" s="49">
        <v>0.0</v>
      </c>
      <c r="I233" s="49">
        <v>0.0</v>
      </c>
      <c r="J233" s="49">
        <v>0.0</v>
      </c>
      <c r="K233" s="49">
        <v>0.0</v>
      </c>
      <c r="L233" s="49">
        <v>0.0</v>
      </c>
    </row>
    <row r="234">
      <c r="A234" s="49">
        <v>2.0</v>
      </c>
      <c r="B234" s="49" t="s">
        <v>34</v>
      </c>
      <c r="C234" s="50">
        <f t="shared" si="19"/>
        <v>0</v>
      </c>
      <c r="D234" s="13"/>
      <c r="E234" s="49">
        <v>0.0</v>
      </c>
      <c r="F234" s="49">
        <v>0.0</v>
      </c>
      <c r="G234" s="49">
        <v>0.0</v>
      </c>
      <c r="H234" s="49">
        <v>0.0</v>
      </c>
      <c r="I234" s="49">
        <v>0.0</v>
      </c>
      <c r="J234" s="49">
        <v>0.0</v>
      </c>
      <c r="K234" s="49">
        <v>0.0</v>
      </c>
      <c r="L234" s="49">
        <v>0.0</v>
      </c>
    </row>
    <row r="235">
      <c r="A235" s="49">
        <v>3.0</v>
      </c>
      <c r="B235" s="49" t="s">
        <v>14</v>
      </c>
      <c r="C235" s="50">
        <f t="shared" si="19"/>
        <v>0</v>
      </c>
      <c r="D235" s="13"/>
      <c r="E235" s="49">
        <v>0.0</v>
      </c>
      <c r="F235" s="49">
        <v>0.0</v>
      </c>
      <c r="G235" s="49">
        <v>0.0</v>
      </c>
      <c r="H235" s="49">
        <v>0.0</v>
      </c>
      <c r="I235" s="49">
        <v>0.0</v>
      </c>
      <c r="J235" s="49">
        <v>0.0</v>
      </c>
      <c r="K235" s="49">
        <v>0.0</v>
      </c>
      <c r="L235" s="49">
        <v>0.0</v>
      </c>
    </row>
    <row r="236">
      <c r="A236" s="30" t="s">
        <v>88</v>
      </c>
      <c r="B236" s="3"/>
      <c r="C236" s="20">
        <f>SUM(C233:C235)</f>
        <v>0</v>
      </c>
      <c r="D236" s="21"/>
      <c r="E236" s="20">
        <f t="shared" ref="E236:L236" si="20">SUM(E233:E235)</f>
        <v>0</v>
      </c>
      <c r="F236" s="20">
        <f t="shared" si="20"/>
        <v>0</v>
      </c>
      <c r="G236" s="20">
        <f t="shared" si="20"/>
        <v>0</v>
      </c>
      <c r="H236" s="20">
        <f t="shared" si="20"/>
        <v>0</v>
      </c>
      <c r="I236" s="20">
        <f t="shared" si="20"/>
        <v>0</v>
      </c>
      <c r="J236" s="20">
        <f t="shared" si="20"/>
        <v>0</v>
      </c>
      <c r="K236" s="20">
        <f t="shared" si="20"/>
        <v>0</v>
      </c>
      <c r="L236" s="20">
        <f t="shared" si="20"/>
        <v>0</v>
      </c>
    </row>
    <row r="237">
      <c r="A237" s="45" t="s">
        <v>89</v>
      </c>
      <c r="B237" s="2"/>
      <c r="C237" s="3"/>
      <c r="D237" s="21"/>
      <c r="E237" s="20">
        <f>C229+C236</f>
        <v>0</v>
      </c>
      <c r="F237" s="46"/>
      <c r="G237" s="2"/>
      <c r="H237" s="2"/>
      <c r="I237" s="2"/>
      <c r="J237" s="2"/>
      <c r="K237" s="2"/>
      <c r="L237" s="3"/>
    </row>
    <row r="239">
      <c r="A239" s="35" t="s">
        <v>90</v>
      </c>
      <c r="B239" s="2"/>
      <c r="C239" s="3"/>
      <c r="D239" s="47"/>
      <c r="E239" s="6" t="s">
        <v>91</v>
      </c>
      <c r="F239" s="2"/>
      <c r="G239" s="2"/>
      <c r="H239" s="2"/>
      <c r="I239" s="2"/>
      <c r="J239" s="2"/>
      <c r="K239" s="2"/>
      <c r="L239" s="3"/>
    </row>
    <row r="240" ht="21.0" customHeight="1">
      <c r="A240" s="22" t="s">
        <v>5</v>
      </c>
      <c r="B240" s="22" t="s">
        <v>92</v>
      </c>
      <c r="C240" s="22" t="s">
        <v>7</v>
      </c>
      <c r="D240" s="48"/>
      <c r="E240" s="9" t="s">
        <v>8</v>
      </c>
      <c r="F240" s="9" t="s">
        <v>9</v>
      </c>
      <c r="G240" s="9" t="s">
        <v>10</v>
      </c>
      <c r="H240" s="9" t="s">
        <v>11</v>
      </c>
      <c r="I240" s="9" t="s">
        <v>12</v>
      </c>
      <c r="J240" s="9" t="s">
        <v>13</v>
      </c>
      <c r="K240" s="9" t="s">
        <v>14</v>
      </c>
      <c r="L240" s="9" t="s">
        <v>15</v>
      </c>
    </row>
    <row r="241">
      <c r="A241" s="22">
        <v>1.0</v>
      </c>
      <c r="B241" s="22" t="s">
        <v>20</v>
      </c>
      <c r="C241" s="20">
        <f t="shared" ref="C241:C243" si="21">E241+F241+G241+H241+I241+J241+K241+L241</f>
        <v>15</v>
      </c>
      <c r="D241" s="13"/>
      <c r="E241" s="22">
        <v>15.0</v>
      </c>
      <c r="F241" s="22">
        <v>0.0</v>
      </c>
      <c r="G241" s="22">
        <v>0.0</v>
      </c>
      <c r="H241" s="22">
        <v>0.0</v>
      </c>
      <c r="I241" s="22">
        <v>0.0</v>
      </c>
      <c r="J241" s="22">
        <v>0.0</v>
      </c>
      <c r="K241" s="22">
        <v>0.0</v>
      </c>
      <c r="L241" s="22">
        <v>0.0</v>
      </c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>
      <c r="A242" s="49">
        <v>2.0</v>
      </c>
      <c r="B242" s="49" t="s">
        <v>14</v>
      </c>
      <c r="C242" s="50">
        <f t="shared" si="21"/>
        <v>0</v>
      </c>
      <c r="D242" s="13"/>
      <c r="E242" s="49">
        <v>0.0</v>
      </c>
      <c r="F242" s="49">
        <v>0.0</v>
      </c>
      <c r="G242" s="49">
        <v>0.0</v>
      </c>
      <c r="H242" s="49">
        <v>0.0</v>
      </c>
      <c r="I242" s="49">
        <v>0.0</v>
      </c>
      <c r="J242" s="49">
        <v>0.0</v>
      </c>
      <c r="K242" s="49">
        <v>0.0</v>
      </c>
      <c r="L242" s="49">
        <v>0.0</v>
      </c>
      <c r="N242" s="15" t="s">
        <v>0</v>
      </c>
    </row>
    <row r="243">
      <c r="A243" s="49">
        <v>3.0</v>
      </c>
      <c r="B243" s="49" t="s">
        <v>15</v>
      </c>
      <c r="C243" s="50">
        <f t="shared" si="21"/>
        <v>0</v>
      </c>
      <c r="D243" s="13"/>
      <c r="E243" s="49">
        <v>0.0</v>
      </c>
      <c r="F243" s="49">
        <v>0.0</v>
      </c>
      <c r="G243" s="49">
        <v>0.0</v>
      </c>
      <c r="H243" s="49">
        <v>0.0</v>
      </c>
      <c r="I243" s="49">
        <v>0.0</v>
      </c>
      <c r="J243" s="49">
        <v>0.0</v>
      </c>
      <c r="K243" s="49">
        <v>0.0</v>
      </c>
      <c r="L243" s="49">
        <v>0.0</v>
      </c>
    </row>
    <row r="244">
      <c r="A244" s="19" t="s">
        <v>93</v>
      </c>
      <c r="B244" s="3"/>
      <c r="C244" s="20">
        <f>SUM(C241:C243)</f>
        <v>15</v>
      </c>
      <c r="D244" s="21"/>
      <c r="E244" s="20">
        <f t="shared" ref="E244:L244" si="22">SUM(E241:E243)</f>
        <v>15</v>
      </c>
      <c r="F244" s="20">
        <f t="shared" si="22"/>
        <v>0</v>
      </c>
      <c r="G244" s="20">
        <f t="shared" si="22"/>
        <v>0</v>
      </c>
      <c r="H244" s="20">
        <f t="shared" si="22"/>
        <v>0</v>
      </c>
      <c r="I244" s="20">
        <f t="shared" si="22"/>
        <v>0</v>
      </c>
      <c r="J244" s="20">
        <f t="shared" si="22"/>
        <v>0</v>
      </c>
      <c r="K244" s="20">
        <f t="shared" si="22"/>
        <v>0</v>
      </c>
      <c r="L244" s="20">
        <f t="shared" si="22"/>
        <v>0</v>
      </c>
    </row>
    <row r="245">
      <c r="A245" s="2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3"/>
    </row>
    <row r="246">
      <c r="A246" s="39" t="s">
        <v>94</v>
      </c>
      <c r="B246" s="2"/>
      <c r="C246" s="3"/>
      <c r="D246" s="51"/>
      <c r="E246" s="26" t="s">
        <v>95</v>
      </c>
      <c r="F246" s="2"/>
      <c r="G246" s="2"/>
      <c r="H246" s="2"/>
      <c r="I246" s="2"/>
      <c r="J246" s="2"/>
      <c r="K246" s="2"/>
      <c r="L246" s="3"/>
    </row>
    <row r="247" ht="20.25" customHeight="1">
      <c r="A247" s="52" t="s">
        <v>5</v>
      </c>
      <c r="B247" s="22" t="s">
        <v>92</v>
      </c>
      <c r="C247" s="22" t="s">
        <v>7</v>
      </c>
      <c r="D247" s="48"/>
      <c r="E247" s="9" t="s">
        <v>8</v>
      </c>
      <c r="F247" s="9" t="s">
        <v>9</v>
      </c>
      <c r="G247" s="9" t="s">
        <v>10</v>
      </c>
      <c r="H247" s="9" t="s">
        <v>11</v>
      </c>
      <c r="I247" s="9" t="s">
        <v>12</v>
      </c>
      <c r="J247" s="9" t="s">
        <v>13</v>
      </c>
      <c r="K247" s="9" t="s">
        <v>14</v>
      </c>
      <c r="L247" s="9" t="s">
        <v>15</v>
      </c>
    </row>
    <row r="248">
      <c r="A248" s="49">
        <v>1.0</v>
      </c>
      <c r="B248" s="49" t="s">
        <v>20</v>
      </c>
      <c r="C248" s="50">
        <f t="shared" ref="C248:C250" si="23">E248+F248+G248+H248+I248+J248+K248+L248</f>
        <v>0</v>
      </c>
      <c r="D248" s="13"/>
      <c r="E248" s="49">
        <v>0.0</v>
      </c>
      <c r="F248" s="49">
        <v>0.0</v>
      </c>
      <c r="G248" s="49">
        <v>0.0</v>
      </c>
      <c r="H248" s="49">
        <v>0.0</v>
      </c>
      <c r="I248" s="49">
        <v>0.0</v>
      </c>
      <c r="J248" s="49">
        <v>0.0</v>
      </c>
      <c r="K248" s="49">
        <v>0.0</v>
      </c>
      <c r="L248" s="49">
        <v>0.0</v>
      </c>
    </row>
    <row r="249">
      <c r="A249" s="49">
        <v>2.0</v>
      </c>
      <c r="B249" s="49" t="s">
        <v>14</v>
      </c>
      <c r="C249" s="50">
        <f t="shared" si="23"/>
        <v>0</v>
      </c>
      <c r="D249" s="13"/>
      <c r="E249" s="49">
        <v>0.0</v>
      </c>
      <c r="F249" s="49">
        <v>0.0</v>
      </c>
      <c r="G249" s="49">
        <v>0.0</v>
      </c>
      <c r="H249" s="49">
        <v>0.0</v>
      </c>
      <c r="I249" s="49">
        <v>0.0</v>
      </c>
      <c r="J249" s="49">
        <v>0.0</v>
      </c>
      <c r="K249" s="49">
        <v>0.0</v>
      </c>
      <c r="L249" s="49">
        <v>0.0</v>
      </c>
    </row>
    <row r="250">
      <c r="A250" s="49">
        <v>3.0</v>
      </c>
      <c r="B250" s="49" t="s">
        <v>15</v>
      </c>
      <c r="C250" s="50">
        <f t="shared" si="23"/>
        <v>0</v>
      </c>
      <c r="D250" s="13"/>
      <c r="E250" s="49">
        <v>0.0</v>
      </c>
      <c r="F250" s="49">
        <v>0.0</v>
      </c>
      <c r="G250" s="49">
        <v>0.0</v>
      </c>
      <c r="H250" s="49">
        <v>0.0</v>
      </c>
      <c r="I250" s="49">
        <v>0.0</v>
      </c>
      <c r="J250" s="49">
        <v>0.0</v>
      </c>
      <c r="K250" s="49">
        <v>0.0</v>
      </c>
      <c r="L250" s="49">
        <v>0.0</v>
      </c>
    </row>
    <row r="251">
      <c r="A251" s="30" t="s">
        <v>96</v>
      </c>
      <c r="B251" s="3"/>
      <c r="C251" s="20">
        <f>SUM(C248:C250)</f>
        <v>0</v>
      </c>
      <c r="D251" s="21"/>
      <c r="E251" s="20">
        <f t="shared" ref="E251:L251" si="24">SUM(E248:E250)</f>
        <v>0</v>
      </c>
      <c r="F251" s="20">
        <f t="shared" si="24"/>
        <v>0</v>
      </c>
      <c r="G251" s="20">
        <f t="shared" si="24"/>
        <v>0</v>
      </c>
      <c r="H251" s="20">
        <f t="shared" si="24"/>
        <v>0</v>
      </c>
      <c r="I251" s="20">
        <f t="shared" si="24"/>
        <v>0</v>
      </c>
      <c r="J251" s="20">
        <f t="shared" si="24"/>
        <v>0</v>
      </c>
      <c r="K251" s="20">
        <f t="shared" si="24"/>
        <v>0</v>
      </c>
      <c r="L251" s="20">
        <f t="shared" si="24"/>
        <v>0</v>
      </c>
    </row>
    <row r="252">
      <c r="A252" s="45" t="s">
        <v>97</v>
      </c>
      <c r="B252" s="2"/>
      <c r="C252" s="3"/>
      <c r="D252" s="21"/>
      <c r="E252" s="20">
        <f>C244+C251</f>
        <v>15</v>
      </c>
      <c r="F252" s="46"/>
      <c r="G252" s="2"/>
      <c r="H252" s="2"/>
      <c r="I252" s="2"/>
      <c r="J252" s="2"/>
      <c r="K252" s="2"/>
      <c r="L252" s="3"/>
    </row>
    <row r="253">
      <c r="A253" s="2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3"/>
    </row>
    <row r="254">
      <c r="A254" s="35" t="s">
        <v>98</v>
      </c>
      <c r="B254" s="2"/>
      <c r="C254" s="3"/>
      <c r="D254" s="47"/>
      <c r="E254" s="6" t="s">
        <v>99</v>
      </c>
      <c r="F254" s="2"/>
      <c r="G254" s="2"/>
      <c r="H254" s="2"/>
      <c r="I254" s="2"/>
      <c r="J254" s="2"/>
      <c r="K254" s="2"/>
      <c r="L254" s="3"/>
    </row>
    <row r="255" ht="20.25" customHeight="1">
      <c r="A255" s="52" t="s">
        <v>5</v>
      </c>
      <c r="B255" s="52" t="s">
        <v>100</v>
      </c>
      <c r="C255" s="52" t="s">
        <v>7</v>
      </c>
      <c r="D255" s="53"/>
      <c r="E255" s="54" t="s">
        <v>8</v>
      </c>
      <c r="F255" s="54" t="s">
        <v>9</v>
      </c>
      <c r="G255" s="54" t="s">
        <v>10</v>
      </c>
      <c r="H255" s="54" t="s">
        <v>11</v>
      </c>
      <c r="I255" s="54" t="s">
        <v>12</v>
      </c>
      <c r="J255" s="54" t="s">
        <v>13</v>
      </c>
      <c r="K255" s="54" t="s">
        <v>14</v>
      </c>
      <c r="L255" s="54" t="s">
        <v>15</v>
      </c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</row>
    <row r="256">
      <c r="A256" s="49">
        <v>1.0</v>
      </c>
      <c r="B256" s="49" t="s">
        <v>18</v>
      </c>
      <c r="C256" s="50">
        <f t="shared" ref="C256:C258" si="25">E256+F256+G256+H256+I256+J256+K256+L256</f>
        <v>168</v>
      </c>
      <c r="D256" s="13"/>
      <c r="E256" s="49">
        <v>0.0</v>
      </c>
      <c r="F256" s="49">
        <v>168.0</v>
      </c>
      <c r="G256" s="49">
        <v>0.0</v>
      </c>
      <c r="H256" s="49">
        <v>0.0</v>
      </c>
      <c r="I256" s="49">
        <v>0.0</v>
      </c>
      <c r="J256" s="49">
        <v>0.0</v>
      </c>
      <c r="K256" s="49">
        <v>0.0</v>
      </c>
      <c r="L256" s="49">
        <v>0.0</v>
      </c>
    </row>
    <row r="257">
      <c r="A257" s="49">
        <v>2.0</v>
      </c>
      <c r="B257" s="49" t="s">
        <v>14</v>
      </c>
      <c r="C257" s="50">
        <f t="shared" si="25"/>
        <v>0</v>
      </c>
      <c r="D257" s="13"/>
      <c r="E257" s="49">
        <v>0.0</v>
      </c>
      <c r="F257" s="49">
        <v>0.0</v>
      </c>
      <c r="G257" s="49">
        <v>0.0</v>
      </c>
      <c r="H257" s="49">
        <v>0.0</v>
      </c>
      <c r="I257" s="49">
        <v>0.0</v>
      </c>
      <c r="J257" s="49">
        <v>0.0</v>
      </c>
      <c r="K257" s="49">
        <v>0.0</v>
      </c>
      <c r="L257" s="49">
        <v>0.0</v>
      </c>
    </row>
    <row r="258">
      <c r="A258" s="49">
        <v>3.0</v>
      </c>
      <c r="B258" s="49" t="s">
        <v>15</v>
      </c>
      <c r="C258" s="50">
        <f t="shared" si="25"/>
        <v>0</v>
      </c>
      <c r="D258" s="13"/>
      <c r="E258" s="49">
        <v>0.0</v>
      </c>
      <c r="F258" s="49">
        <v>0.0</v>
      </c>
      <c r="G258" s="49">
        <v>0.0</v>
      </c>
      <c r="H258" s="49">
        <v>0.0</v>
      </c>
      <c r="I258" s="49">
        <v>0.0</v>
      </c>
      <c r="J258" s="49">
        <v>0.0</v>
      </c>
      <c r="K258" s="49">
        <v>0.0</v>
      </c>
      <c r="L258" s="49">
        <v>0.0</v>
      </c>
    </row>
    <row r="259">
      <c r="A259" s="19" t="s">
        <v>101</v>
      </c>
      <c r="B259" s="3"/>
      <c r="C259" s="20">
        <f>SUM(C256:C258)</f>
        <v>168</v>
      </c>
      <c r="D259" s="21"/>
      <c r="E259" s="20">
        <f t="shared" ref="E259:L259" si="26">SUM(E256:E258)</f>
        <v>0</v>
      </c>
      <c r="F259" s="20">
        <f t="shared" si="26"/>
        <v>168</v>
      </c>
      <c r="G259" s="20">
        <f t="shared" si="26"/>
        <v>0</v>
      </c>
      <c r="H259" s="20">
        <f t="shared" si="26"/>
        <v>0</v>
      </c>
      <c r="I259" s="20">
        <f t="shared" si="26"/>
        <v>0</v>
      </c>
      <c r="J259" s="20">
        <f t="shared" si="26"/>
        <v>0</v>
      </c>
      <c r="K259" s="20">
        <f t="shared" si="26"/>
        <v>0</v>
      </c>
      <c r="L259" s="20">
        <f t="shared" si="26"/>
        <v>0</v>
      </c>
    </row>
    <row r="260">
      <c r="A260" s="2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3"/>
    </row>
    <row r="261">
      <c r="A261" s="39" t="s">
        <v>102</v>
      </c>
      <c r="B261" s="2"/>
      <c r="C261" s="3"/>
      <c r="D261" s="51"/>
      <c r="E261" s="26" t="s">
        <v>103</v>
      </c>
      <c r="F261" s="2"/>
      <c r="G261" s="2"/>
      <c r="H261" s="2"/>
      <c r="I261" s="2"/>
      <c r="J261" s="2"/>
      <c r="K261" s="2"/>
      <c r="L261" s="3"/>
    </row>
    <row r="262">
      <c r="A262" s="52" t="s">
        <v>5</v>
      </c>
      <c r="B262" s="22" t="s">
        <v>104</v>
      </c>
      <c r="C262" s="22" t="s">
        <v>7</v>
      </c>
      <c r="D262" s="48"/>
      <c r="E262" s="9" t="s">
        <v>8</v>
      </c>
      <c r="F262" s="9" t="s">
        <v>9</v>
      </c>
      <c r="G262" s="9" t="s">
        <v>10</v>
      </c>
      <c r="H262" s="9" t="s">
        <v>11</v>
      </c>
      <c r="I262" s="9" t="s">
        <v>12</v>
      </c>
      <c r="J262" s="9" t="s">
        <v>13</v>
      </c>
      <c r="K262" s="9" t="s">
        <v>14</v>
      </c>
      <c r="L262" s="9" t="s">
        <v>15</v>
      </c>
    </row>
    <row r="263">
      <c r="A263" s="49">
        <v>1.0</v>
      </c>
      <c r="B263" s="49" t="s">
        <v>18</v>
      </c>
      <c r="C263" s="50">
        <f t="shared" ref="C263:C265" si="27">E263+F263+G263+H263+I263+J263+K263+L263</f>
        <v>2</v>
      </c>
      <c r="D263" s="13"/>
      <c r="E263" s="49">
        <v>0.0</v>
      </c>
      <c r="F263" s="49">
        <v>2.0</v>
      </c>
      <c r="G263" s="49">
        <v>0.0</v>
      </c>
      <c r="H263" s="49">
        <v>0.0</v>
      </c>
      <c r="I263" s="49">
        <v>0.0</v>
      </c>
      <c r="J263" s="49">
        <v>0.0</v>
      </c>
      <c r="K263" s="49">
        <v>0.0</v>
      </c>
      <c r="L263" s="49">
        <v>0.0</v>
      </c>
    </row>
    <row r="264">
      <c r="A264" s="49">
        <v>2.0</v>
      </c>
      <c r="B264" s="49" t="s">
        <v>14</v>
      </c>
      <c r="C264" s="50">
        <f t="shared" si="27"/>
        <v>0</v>
      </c>
      <c r="D264" s="13"/>
      <c r="E264" s="49">
        <v>0.0</v>
      </c>
      <c r="F264" s="49">
        <v>0.0</v>
      </c>
      <c r="G264" s="49">
        <v>0.0</v>
      </c>
      <c r="H264" s="49">
        <v>0.0</v>
      </c>
      <c r="I264" s="49">
        <v>0.0</v>
      </c>
      <c r="J264" s="49">
        <v>0.0</v>
      </c>
      <c r="K264" s="49">
        <v>0.0</v>
      </c>
      <c r="L264" s="49">
        <v>0.0</v>
      </c>
    </row>
    <row r="265">
      <c r="A265" s="49">
        <v>3.0</v>
      </c>
      <c r="B265" s="49" t="s">
        <v>15</v>
      </c>
      <c r="C265" s="50">
        <f t="shared" si="27"/>
        <v>0</v>
      </c>
      <c r="D265" s="13"/>
      <c r="E265" s="49">
        <v>0.0</v>
      </c>
      <c r="F265" s="49">
        <v>0.0</v>
      </c>
      <c r="G265" s="49">
        <v>0.0</v>
      </c>
      <c r="H265" s="49">
        <v>0.0</v>
      </c>
      <c r="I265" s="49">
        <v>0.0</v>
      </c>
      <c r="J265" s="49">
        <v>0.0</v>
      </c>
      <c r="K265" s="49">
        <v>0.0</v>
      </c>
      <c r="L265" s="49">
        <v>0.0</v>
      </c>
    </row>
    <row r="266">
      <c r="A266" s="30" t="s">
        <v>105</v>
      </c>
      <c r="B266" s="3"/>
      <c r="C266" s="20">
        <f>SUM(C263:C265)</f>
        <v>2</v>
      </c>
      <c r="D266" s="21"/>
      <c r="E266" s="20">
        <f t="shared" ref="E266:L266" si="28">SUM(E263:E265)</f>
        <v>0</v>
      </c>
      <c r="F266" s="20">
        <f t="shared" si="28"/>
        <v>2</v>
      </c>
      <c r="G266" s="20">
        <f t="shared" si="28"/>
        <v>0</v>
      </c>
      <c r="H266" s="20">
        <f t="shared" si="28"/>
        <v>0</v>
      </c>
      <c r="I266" s="20">
        <f t="shared" si="28"/>
        <v>0</v>
      </c>
      <c r="J266" s="20">
        <f t="shared" si="28"/>
        <v>0</v>
      </c>
      <c r="K266" s="20">
        <f t="shared" si="28"/>
        <v>0</v>
      </c>
      <c r="L266" s="20">
        <f t="shared" si="28"/>
        <v>0</v>
      </c>
    </row>
    <row r="267">
      <c r="A267" s="45" t="s">
        <v>124</v>
      </c>
      <c r="B267" s="2"/>
      <c r="C267" s="3"/>
      <c r="D267" s="21"/>
      <c r="E267" s="20">
        <f>C259+C266</f>
        <v>170</v>
      </c>
      <c r="F267" s="46"/>
      <c r="G267" s="2"/>
      <c r="H267" s="2"/>
      <c r="I267" s="2"/>
      <c r="J267" s="2"/>
      <c r="K267" s="2"/>
      <c r="L267" s="3"/>
    </row>
    <row r="268">
      <c r="A268" s="2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3"/>
    </row>
    <row r="269">
      <c r="A269" s="35" t="s">
        <v>106</v>
      </c>
      <c r="B269" s="2"/>
      <c r="C269" s="3"/>
      <c r="D269" s="47"/>
      <c r="E269" s="6" t="s">
        <v>107</v>
      </c>
      <c r="F269" s="2"/>
      <c r="G269" s="2"/>
      <c r="H269" s="2"/>
      <c r="I269" s="2"/>
      <c r="J269" s="2"/>
      <c r="K269" s="2"/>
      <c r="L269" s="3"/>
    </row>
    <row r="270" ht="17.25" customHeight="1">
      <c r="A270" s="22" t="s">
        <v>5</v>
      </c>
      <c r="B270" s="22" t="s">
        <v>108</v>
      </c>
      <c r="C270" s="22" t="s">
        <v>7</v>
      </c>
      <c r="D270" s="48"/>
      <c r="E270" s="9" t="s">
        <v>8</v>
      </c>
      <c r="F270" s="9" t="s">
        <v>9</v>
      </c>
      <c r="G270" s="9" t="s">
        <v>10</v>
      </c>
      <c r="H270" s="9" t="s">
        <v>11</v>
      </c>
      <c r="I270" s="9" t="s">
        <v>12</v>
      </c>
      <c r="J270" s="9" t="s">
        <v>13</v>
      </c>
      <c r="K270" s="9" t="s">
        <v>14</v>
      </c>
      <c r="L270" s="9" t="s">
        <v>15</v>
      </c>
    </row>
    <row r="271">
      <c r="A271" s="49">
        <v>1.0</v>
      </c>
      <c r="B271" s="49" t="s">
        <v>109</v>
      </c>
      <c r="C271" s="50">
        <f t="shared" ref="C271:C273" si="29">E271+F271+G271+H271+I271+J271+K271+L271</f>
        <v>0</v>
      </c>
      <c r="D271" s="13"/>
      <c r="E271" s="49">
        <v>0.0</v>
      </c>
      <c r="F271" s="49">
        <v>0.0</v>
      </c>
      <c r="G271" s="49">
        <v>0.0</v>
      </c>
      <c r="H271" s="49">
        <v>0.0</v>
      </c>
      <c r="I271" s="49">
        <v>0.0</v>
      </c>
      <c r="J271" s="49">
        <v>0.0</v>
      </c>
      <c r="K271" s="49">
        <v>0.0</v>
      </c>
      <c r="L271" s="49">
        <v>0.0</v>
      </c>
    </row>
    <row r="272">
      <c r="A272" s="49">
        <v>2.0</v>
      </c>
      <c r="B272" s="49" t="s">
        <v>14</v>
      </c>
      <c r="C272" s="50">
        <f t="shared" si="29"/>
        <v>0</v>
      </c>
      <c r="D272" s="13"/>
      <c r="E272" s="49">
        <v>0.0</v>
      </c>
      <c r="F272" s="49">
        <v>0.0</v>
      </c>
      <c r="G272" s="49">
        <v>0.0</v>
      </c>
      <c r="H272" s="49">
        <v>0.0</v>
      </c>
      <c r="I272" s="49">
        <v>0.0</v>
      </c>
      <c r="J272" s="49">
        <v>0.0</v>
      </c>
      <c r="K272" s="49">
        <v>0.0</v>
      </c>
      <c r="L272" s="49">
        <v>0.0</v>
      </c>
    </row>
    <row r="273">
      <c r="A273" s="49">
        <v>3.0</v>
      </c>
      <c r="B273" s="49" t="s">
        <v>15</v>
      </c>
      <c r="C273" s="50">
        <f t="shared" si="29"/>
        <v>0</v>
      </c>
      <c r="D273" s="13"/>
      <c r="E273" s="49">
        <v>0.0</v>
      </c>
      <c r="F273" s="49">
        <v>0.0</v>
      </c>
      <c r="G273" s="49">
        <v>0.0</v>
      </c>
      <c r="H273" s="49">
        <v>0.0</v>
      </c>
      <c r="I273" s="49">
        <v>0.0</v>
      </c>
      <c r="J273" s="49">
        <v>0.0</v>
      </c>
      <c r="K273" s="49">
        <v>0.0</v>
      </c>
      <c r="L273" s="49">
        <v>0.0</v>
      </c>
    </row>
    <row r="274">
      <c r="A274" s="19" t="s">
        <v>110</v>
      </c>
      <c r="B274" s="3"/>
      <c r="C274" s="20">
        <f>SUM(C271:C273)</f>
        <v>0</v>
      </c>
      <c r="D274" s="21"/>
      <c r="E274" s="20">
        <f t="shared" ref="E274:L274" si="30">SUM(E271:E273)</f>
        <v>0</v>
      </c>
      <c r="F274" s="20">
        <f t="shared" si="30"/>
        <v>0</v>
      </c>
      <c r="G274" s="20">
        <f t="shared" si="30"/>
        <v>0</v>
      </c>
      <c r="H274" s="20">
        <f t="shared" si="30"/>
        <v>0</v>
      </c>
      <c r="I274" s="20">
        <f t="shared" si="30"/>
        <v>0</v>
      </c>
      <c r="J274" s="20">
        <f t="shared" si="30"/>
        <v>0</v>
      </c>
      <c r="K274" s="20">
        <f t="shared" si="30"/>
        <v>0</v>
      </c>
      <c r="L274" s="20">
        <f t="shared" si="30"/>
        <v>0</v>
      </c>
    </row>
    <row r="275">
      <c r="A275" s="2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3"/>
    </row>
    <row r="276">
      <c r="A276" s="39" t="s">
        <v>111</v>
      </c>
      <c r="B276" s="2"/>
      <c r="C276" s="3"/>
      <c r="D276" s="51"/>
      <c r="E276" s="26" t="s">
        <v>112</v>
      </c>
      <c r="F276" s="2"/>
      <c r="G276" s="2"/>
      <c r="H276" s="2"/>
      <c r="I276" s="2"/>
      <c r="J276" s="2"/>
      <c r="K276" s="2"/>
      <c r="L276" s="3"/>
    </row>
    <row r="277" ht="19.5" customHeight="1">
      <c r="A277" s="52" t="s">
        <v>5</v>
      </c>
      <c r="B277" s="22" t="s">
        <v>113</v>
      </c>
      <c r="C277" s="22" t="s">
        <v>7</v>
      </c>
      <c r="D277" s="48"/>
      <c r="E277" s="9" t="s">
        <v>8</v>
      </c>
      <c r="F277" s="9" t="s">
        <v>9</v>
      </c>
      <c r="G277" s="9" t="s">
        <v>10</v>
      </c>
      <c r="H277" s="9" t="s">
        <v>11</v>
      </c>
      <c r="I277" s="9" t="s">
        <v>12</v>
      </c>
      <c r="J277" s="9" t="s">
        <v>13</v>
      </c>
      <c r="K277" s="9" t="s">
        <v>14</v>
      </c>
      <c r="L277" s="9" t="s">
        <v>15</v>
      </c>
    </row>
    <row r="278">
      <c r="A278" s="49">
        <v>1.0</v>
      </c>
      <c r="B278" s="49" t="s">
        <v>34</v>
      </c>
      <c r="C278" s="50">
        <f t="shared" ref="C278:C280" si="31">E278+F278+G278+H278+I278+J278+K278+L278</f>
        <v>1</v>
      </c>
      <c r="D278" s="13"/>
      <c r="E278" s="49">
        <v>0.0</v>
      </c>
      <c r="F278" s="49">
        <v>1.0</v>
      </c>
      <c r="G278" s="49">
        <v>0.0</v>
      </c>
      <c r="H278" s="49">
        <v>0.0</v>
      </c>
      <c r="I278" s="49">
        <v>0.0</v>
      </c>
      <c r="J278" s="49">
        <v>0.0</v>
      </c>
      <c r="K278" s="49">
        <v>0.0</v>
      </c>
      <c r="L278" s="49">
        <v>0.0</v>
      </c>
    </row>
    <row r="279">
      <c r="A279" s="49">
        <v>2.0</v>
      </c>
      <c r="B279" s="49" t="s">
        <v>14</v>
      </c>
      <c r="C279" s="50">
        <f t="shared" si="31"/>
        <v>0</v>
      </c>
      <c r="D279" s="13"/>
      <c r="E279" s="49">
        <v>0.0</v>
      </c>
      <c r="F279" s="49">
        <v>0.0</v>
      </c>
      <c r="G279" s="49">
        <v>0.0</v>
      </c>
      <c r="H279" s="49">
        <v>0.0</v>
      </c>
      <c r="I279" s="49">
        <v>0.0</v>
      </c>
      <c r="J279" s="49">
        <v>0.0</v>
      </c>
      <c r="K279" s="49">
        <v>0.0</v>
      </c>
      <c r="L279" s="49">
        <v>0.0</v>
      </c>
    </row>
    <row r="280">
      <c r="A280" s="49">
        <v>3.0</v>
      </c>
      <c r="B280" s="49" t="s">
        <v>15</v>
      </c>
      <c r="C280" s="50">
        <f t="shared" si="31"/>
        <v>0</v>
      </c>
      <c r="D280" s="13"/>
      <c r="E280" s="49">
        <v>0.0</v>
      </c>
      <c r="F280" s="49">
        <v>0.0</v>
      </c>
      <c r="G280" s="49">
        <v>0.0</v>
      </c>
      <c r="H280" s="49">
        <v>0.0</v>
      </c>
      <c r="I280" s="49">
        <v>0.0</v>
      </c>
      <c r="J280" s="49">
        <v>0.0</v>
      </c>
      <c r="K280" s="49">
        <v>0.0</v>
      </c>
      <c r="L280" s="49">
        <v>0.0</v>
      </c>
    </row>
    <row r="281">
      <c r="A281" s="30" t="s">
        <v>114</v>
      </c>
      <c r="B281" s="3"/>
      <c r="C281" s="20">
        <f>SUM(C278:C280)</f>
        <v>1</v>
      </c>
      <c r="D281" s="21"/>
      <c r="E281" s="20">
        <f t="shared" ref="E281:L281" si="32">SUM(E278:E280)</f>
        <v>0</v>
      </c>
      <c r="F281" s="20">
        <f t="shared" si="32"/>
        <v>1</v>
      </c>
      <c r="G281" s="20">
        <f t="shared" si="32"/>
        <v>0</v>
      </c>
      <c r="H281" s="20">
        <f t="shared" si="32"/>
        <v>0</v>
      </c>
      <c r="I281" s="20">
        <f t="shared" si="32"/>
        <v>0</v>
      </c>
      <c r="J281" s="20">
        <f t="shared" si="32"/>
        <v>0</v>
      </c>
      <c r="K281" s="20">
        <f t="shared" si="32"/>
        <v>0</v>
      </c>
      <c r="L281" s="20">
        <f t="shared" si="32"/>
        <v>0</v>
      </c>
    </row>
    <row r="282">
      <c r="A282" s="56" t="s">
        <v>115</v>
      </c>
      <c r="B282" s="2"/>
      <c r="C282" s="3"/>
      <c r="D282" s="57"/>
      <c r="E282" s="20">
        <f>C274+C281</f>
        <v>1</v>
      </c>
      <c r="F282" s="23"/>
      <c r="G282" s="2"/>
      <c r="H282" s="2"/>
      <c r="I282" s="2"/>
      <c r="J282" s="2"/>
      <c r="K282" s="2"/>
      <c r="L282" s="3"/>
    </row>
    <row r="283">
      <c r="A283" s="2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3"/>
    </row>
    <row r="284">
      <c r="A284" s="58" t="s">
        <v>116</v>
      </c>
      <c r="B284" s="2"/>
      <c r="C284" s="2"/>
      <c r="D284" s="2"/>
      <c r="E284" s="3"/>
      <c r="F284" s="57"/>
      <c r="G284" s="58" t="s">
        <v>117</v>
      </c>
      <c r="H284" s="2"/>
      <c r="I284" s="2"/>
      <c r="J284" s="2"/>
      <c r="K284" s="2"/>
      <c r="L284" s="3"/>
    </row>
    <row r="285">
      <c r="A285" s="58" t="s">
        <v>118</v>
      </c>
      <c r="B285" s="2"/>
      <c r="C285" s="3"/>
      <c r="D285" s="59"/>
      <c r="E285" s="60" t="s">
        <v>119</v>
      </c>
      <c r="F285" s="8"/>
      <c r="G285" s="61" t="s">
        <v>118</v>
      </c>
      <c r="H285" s="2"/>
      <c r="I285" s="2"/>
      <c r="J285" s="2"/>
      <c r="K285" s="3"/>
      <c r="L285" s="62" t="s">
        <v>120</v>
      </c>
    </row>
    <row r="286">
      <c r="A286" s="63" t="s">
        <v>53</v>
      </c>
      <c r="B286" s="2"/>
      <c r="C286" s="2"/>
      <c r="D286" s="64"/>
      <c r="E286" s="65">
        <f>E69</f>
        <v>7050</v>
      </c>
      <c r="F286" s="13"/>
      <c r="G286" s="66" t="s">
        <v>121</v>
      </c>
      <c r="H286" s="2"/>
      <c r="I286" s="2"/>
      <c r="J286" s="2"/>
      <c r="K286" s="3"/>
      <c r="L286" s="67">
        <v>3689736.0</v>
      </c>
    </row>
    <row r="287">
      <c r="A287" s="63" t="s">
        <v>64</v>
      </c>
      <c r="B287" s="2"/>
      <c r="C287" s="2"/>
      <c r="D287" s="64"/>
      <c r="E287" s="65">
        <f>E138</f>
        <v>419</v>
      </c>
      <c r="F287" s="13"/>
      <c r="G287" s="66" t="s">
        <v>122</v>
      </c>
      <c r="H287" s="2"/>
      <c r="I287" s="2"/>
      <c r="J287" s="2"/>
      <c r="K287" s="3"/>
      <c r="L287" s="67">
        <v>416190.0</v>
      </c>
    </row>
    <row r="288">
      <c r="A288" s="63" t="s">
        <v>73</v>
      </c>
      <c r="B288" s="2"/>
      <c r="C288" s="2"/>
      <c r="D288" s="64"/>
      <c r="E288" s="65">
        <f>E207</f>
        <v>126</v>
      </c>
      <c r="F288" s="13"/>
      <c r="G288" s="66" t="s">
        <v>123</v>
      </c>
      <c r="H288" s="2"/>
      <c r="I288" s="2"/>
      <c r="J288" s="2"/>
      <c r="K288" s="3"/>
      <c r="L288" s="67">
        <v>0.0</v>
      </c>
    </row>
    <row r="289">
      <c r="A289" s="66" t="s">
        <v>125</v>
      </c>
      <c r="B289" s="2"/>
      <c r="C289" s="3"/>
      <c r="D289" s="64"/>
      <c r="E289" s="65">
        <f>E222+E237+E252+E267+E282</f>
        <v>194</v>
      </c>
      <c r="F289" s="18"/>
      <c r="G289" s="66" t="s">
        <v>161</v>
      </c>
      <c r="H289" s="2"/>
      <c r="I289" s="2"/>
      <c r="J289" s="2"/>
      <c r="K289" s="3"/>
      <c r="L289" s="67">
        <v>222100.0</v>
      </c>
    </row>
    <row r="290">
      <c r="A290" s="68" t="s">
        <v>127</v>
      </c>
      <c r="B290" s="2"/>
      <c r="C290" s="3"/>
      <c r="D290" s="64"/>
      <c r="E290" s="59">
        <f>SUM(E286:E289)</f>
        <v>7789</v>
      </c>
      <c r="F290" s="57"/>
      <c r="G290" s="68" t="s">
        <v>128</v>
      </c>
      <c r="H290" s="2"/>
      <c r="I290" s="2"/>
      <c r="J290" s="2"/>
      <c r="K290" s="3"/>
      <c r="L290" s="69">
        <f>SUM(L286:L289)</f>
        <v>4328026</v>
      </c>
      <c r="M290" s="62">
        <v>5764759.0</v>
      </c>
      <c r="N290" s="81">
        <f>L290-M290</f>
        <v>-1436733</v>
      </c>
    </row>
    <row r="291">
      <c r="A291" s="70"/>
    </row>
    <row r="293">
      <c r="A293" s="58" t="s">
        <v>162</v>
      </c>
      <c r="B293" s="2"/>
      <c r="C293" s="2"/>
      <c r="D293" s="3"/>
      <c r="E293" s="60" t="s">
        <v>130</v>
      </c>
    </row>
    <row r="294">
      <c r="A294" s="71" t="s">
        <v>131</v>
      </c>
      <c r="B294" s="2"/>
      <c r="C294" s="2"/>
      <c r="D294" s="3"/>
      <c r="E294" s="60">
        <v>7789.0</v>
      </c>
      <c r="F294" s="72" t="s">
        <v>118</v>
      </c>
      <c r="G294" s="2"/>
      <c r="H294" s="3"/>
    </row>
    <row r="295">
      <c r="A295" s="71"/>
      <c r="B295" s="2"/>
      <c r="C295" s="2"/>
      <c r="D295" s="3"/>
      <c r="E295" s="60"/>
      <c r="F295" s="12" t="s">
        <v>133</v>
      </c>
      <c r="G295" s="12" t="s">
        <v>134</v>
      </c>
      <c r="H295" s="12" t="s">
        <v>135</v>
      </c>
    </row>
    <row r="296">
      <c r="A296" s="71" t="s">
        <v>163</v>
      </c>
      <c r="B296" s="2"/>
      <c r="C296" s="2"/>
      <c r="D296" s="3"/>
      <c r="E296" s="60">
        <f t="shared" ref="E296:E299" si="33">F296+G296+H296</f>
        <v>0</v>
      </c>
      <c r="F296" s="12">
        <v>0.0</v>
      </c>
      <c r="G296" s="12">
        <v>0.0</v>
      </c>
      <c r="H296" s="12">
        <v>0.0</v>
      </c>
    </row>
    <row r="297">
      <c r="A297" s="71" t="s">
        <v>164</v>
      </c>
      <c r="B297" s="2"/>
      <c r="C297" s="2"/>
      <c r="D297" s="3"/>
      <c r="E297" s="60">
        <f t="shared" si="33"/>
        <v>0</v>
      </c>
      <c r="F297" s="12">
        <v>0.0</v>
      </c>
      <c r="G297" s="12">
        <v>0.0</v>
      </c>
      <c r="H297" s="12">
        <v>0.0</v>
      </c>
    </row>
    <row r="298">
      <c r="A298" s="71" t="s">
        <v>165</v>
      </c>
      <c r="B298" s="2"/>
      <c r="C298" s="2"/>
      <c r="D298" s="3"/>
      <c r="E298" s="60">
        <f t="shared" si="33"/>
        <v>0</v>
      </c>
      <c r="F298" s="12">
        <v>0.0</v>
      </c>
      <c r="G298" s="12">
        <v>0.0</v>
      </c>
      <c r="H298" s="12">
        <v>0.0</v>
      </c>
    </row>
    <row r="299">
      <c r="A299" s="71" t="s">
        <v>166</v>
      </c>
      <c r="B299" s="2"/>
      <c r="C299" s="2"/>
      <c r="D299" s="3"/>
      <c r="E299" s="60">
        <f t="shared" si="33"/>
        <v>0</v>
      </c>
      <c r="F299" s="12">
        <v>0.0</v>
      </c>
      <c r="G299" s="12">
        <v>0.0</v>
      </c>
      <c r="H299" s="12">
        <v>0.0</v>
      </c>
    </row>
    <row r="300">
      <c r="A300" s="56" t="s">
        <v>140</v>
      </c>
      <c r="B300" s="2"/>
      <c r="C300" s="2"/>
      <c r="D300" s="3"/>
      <c r="E300" s="60">
        <f>SUM(E294:E299)</f>
        <v>7789</v>
      </c>
      <c r="F300" s="75">
        <f t="shared" ref="F300:H300" si="34">SUM(F296:F299)</f>
        <v>0</v>
      </c>
      <c r="G300" s="75">
        <f t="shared" si="34"/>
        <v>0</v>
      </c>
      <c r="H300" s="75">
        <f t="shared" si="34"/>
        <v>0</v>
      </c>
    </row>
    <row r="301">
      <c r="A301" s="76" t="s">
        <v>141</v>
      </c>
      <c r="B301" s="2"/>
      <c r="C301" s="2"/>
      <c r="D301" s="3"/>
      <c r="E301" s="12">
        <f>F301+G301+H301</f>
        <v>33</v>
      </c>
      <c r="F301" s="82">
        <v>11.0</v>
      </c>
      <c r="G301" s="82">
        <v>11.0</v>
      </c>
      <c r="H301" s="82">
        <v>11.0</v>
      </c>
    </row>
    <row r="302">
      <c r="A302" s="23"/>
      <c r="B302" s="2"/>
      <c r="C302" s="2"/>
      <c r="D302" s="3"/>
      <c r="E302" s="12">
        <f>E300-E301</f>
        <v>7756</v>
      </c>
      <c r="F302" s="57"/>
      <c r="G302" s="57"/>
      <c r="H302" s="57"/>
    </row>
    <row r="303">
      <c r="A303" s="76" t="s">
        <v>167</v>
      </c>
      <c r="B303" s="2"/>
      <c r="C303" s="2"/>
      <c r="D303" s="3"/>
      <c r="E303" s="12">
        <f>F303+G303+H303</f>
        <v>165</v>
      </c>
      <c r="F303" s="82">
        <v>55.0</v>
      </c>
      <c r="G303" s="82">
        <v>55.0</v>
      </c>
      <c r="H303" s="82">
        <v>55.0</v>
      </c>
    </row>
    <row r="304">
      <c r="A304" s="23"/>
      <c r="B304" s="2"/>
      <c r="C304" s="2"/>
      <c r="D304" s="3"/>
      <c r="E304" s="75">
        <f>E302-E303</f>
        <v>7591</v>
      </c>
      <c r="F304" s="57"/>
      <c r="G304" s="57"/>
      <c r="H304" s="57"/>
    </row>
  </sheetData>
  <mergeCells count="127">
    <mergeCell ref="A209:C209"/>
    <mergeCell ref="A214:B214"/>
    <mergeCell ref="A215:L215"/>
    <mergeCell ref="A216:C216"/>
    <mergeCell ref="E216:L216"/>
    <mergeCell ref="A221:B221"/>
    <mergeCell ref="A222:C222"/>
    <mergeCell ref="F222:L222"/>
    <mergeCell ref="A223:L223"/>
    <mergeCell ref="A224:C224"/>
    <mergeCell ref="E224:L224"/>
    <mergeCell ref="A230:L230"/>
    <mergeCell ref="A231:C231"/>
    <mergeCell ref="E231:L231"/>
    <mergeCell ref="D232:D235"/>
    <mergeCell ref="D240:D243"/>
    <mergeCell ref="A244:B244"/>
    <mergeCell ref="A246:C246"/>
    <mergeCell ref="A229:B229"/>
    <mergeCell ref="A236:B236"/>
    <mergeCell ref="A237:C237"/>
    <mergeCell ref="F237:L237"/>
    <mergeCell ref="A238:L238"/>
    <mergeCell ref="A239:C239"/>
    <mergeCell ref="E239:L239"/>
    <mergeCell ref="F69:L69"/>
    <mergeCell ref="A70:L70"/>
    <mergeCell ref="E71:L71"/>
    <mergeCell ref="A104:L104"/>
    <mergeCell ref="E105:L105"/>
    <mergeCell ref="A1:L1"/>
    <mergeCell ref="A2:C2"/>
    <mergeCell ref="E2:L2"/>
    <mergeCell ref="A34:B34"/>
    <mergeCell ref="A35:L35"/>
    <mergeCell ref="A36:C36"/>
    <mergeCell ref="E36:L36"/>
    <mergeCell ref="A137:B137"/>
    <mergeCell ref="A138:C138"/>
    <mergeCell ref="F138:L138"/>
    <mergeCell ref="A139:L139"/>
    <mergeCell ref="A140:C140"/>
    <mergeCell ref="E140:L140"/>
    <mergeCell ref="A173:L173"/>
    <mergeCell ref="E174:L174"/>
    <mergeCell ref="D3:D33"/>
    <mergeCell ref="D37:D67"/>
    <mergeCell ref="A68:B68"/>
    <mergeCell ref="A69:C69"/>
    <mergeCell ref="A71:C71"/>
    <mergeCell ref="A103:B103"/>
    <mergeCell ref="A105:C105"/>
    <mergeCell ref="A172:B172"/>
    <mergeCell ref="A174:C174"/>
    <mergeCell ref="A206:B206"/>
    <mergeCell ref="A207:C207"/>
    <mergeCell ref="F207:L207"/>
    <mergeCell ref="A208:L208"/>
    <mergeCell ref="E209:L209"/>
    <mergeCell ref="D247:D250"/>
    <mergeCell ref="D255:D258"/>
    <mergeCell ref="A259:B259"/>
    <mergeCell ref="D72:D102"/>
    <mergeCell ref="D106:D136"/>
    <mergeCell ref="D141:D171"/>
    <mergeCell ref="D175:D205"/>
    <mergeCell ref="D210:D213"/>
    <mergeCell ref="D217:D220"/>
    <mergeCell ref="D225:D228"/>
    <mergeCell ref="A284:E284"/>
    <mergeCell ref="G284:L284"/>
    <mergeCell ref="A285:C285"/>
    <mergeCell ref="F285:F289"/>
    <mergeCell ref="G285:K285"/>
    <mergeCell ref="A286:C286"/>
    <mergeCell ref="A287:C287"/>
    <mergeCell ref="A289:C289"/>
    <mergeCell ref="G289:K289"/>
    <mergeCell ref="A290:C290"/>
    <mergeCell ref="G290:K290"/>
    <mergeCell ref="A291:L291"/>
    <mergeCell ref="A292:E292"/>
    <mergeCell ref="A293:D293"/>
    <mergeCell ref="A245:L245"/>
    <mergeCell ref="E246:L246"/>
    <mergeCell ref="A251:B251"/>
    <mergeCell ref="A252:C252"/>
    <mergeCell ref="F252:L252"/>
    <mergeCell ref="A253:L253"/>
    <mergeCell ref="A254:C254"/>
    <mergeCell ref="E254:L254"/>
    <mergeCell ref="A260:L260"/>
    <mergeCell ref="A261:C261"/>
    <mergeCell ref="E261:L261"/>
    <mergeCell ref="D262:D265"/>
    <mergeCell ref="A266:B266"/>
    <mergeCell ref="A267:C267"/>
    <mergeCell ref="F267:L267"/>
    <mergeCell ref="A268:L268"/>
    <mergeCell ref="A269:C269"/>
    <mergeCell ref="E269:L269"/>
    <mergeCell ref="D270:D273"/>
    <mergeCell ref="A274:B274"/>
    <mergeCell ref="A275:L275"/>
    <mergeCell ref="A276:C276"/>
    <mergeCell ref="E276:L276"/>
    <mergeCell ref="D277:D280"/>
    <mergeCell ref="A281:B281"/>
    <mergeCell ref="A282:C282"/>
    <mergeCell ref="F282:L282"/>
    <mergeCell ref="A283:L283"/>
    <mergeCell ref="G286:K286"/>
    <mergeCell ref="G287:K287"/>
    <mergeCell ref="A288:C288"/>
    <mergeCell ref="G288:K288"/>
    <mergeCell ref="A300:D300"/>
    <mergeCell ref="A301:D301"/>
    <mergeCell ref="A302:D302"/>
    <mergeCell ref="A303:D303"/>
    <mergeCell ref="A304:D304"/>
    <mergeCell ref="A294:D294"/>
    <mergeCell ref="F294:H294"/>
    <mergeCell ref="A295:D295"/>
    <mergeCell ref="A296:D296"/>
    <mergeCell ref="A297:D297"/>
    <mergeCell ref="A298:D298"/>
    <mergeCell ref="A299:D299"/>
  </mergeCells>
  <printOptions gridLines="1" horizontalCentered="1"/>
  <pageMargins bottom="0.75" footer="0.0" header="0.0" left="0.25" right="0.25" top="0.75"/>
  <pageSetup paperSize="9" cellComments="atEnd" orientation="landscape" pageOrder="overThenDown"/>
  <rowBreaks count="10" manualBreakCount="10">
    <brk man="1"/>
    <brk id="34" man="1"/>
    <brk id="290" man="1"/>
    <brk id="244" man="1"/>
    <brk id="69" man="1"/>
    <brk id="103" man="1"/>
    <brk id="282" man="1"/>
    <brk id="138" man="1"/>
    <brk id="172" man="1"/>
    <brk id="207" man="1"/>
  </rowBreaks>
  <colBreaks count="2" manualBreakCount="2">
    <brk man="1"/>
    <brk id="12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1.5"/>
    <col customWidth="1" min="3" max="3" width="14.38"/>
    <col customWidth="1" min="4" max="4" width="3.0"/>
    <col customWidth="1" min="11" max="11" width="11.75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3</v>
      </c>
      <c r="B2" s="2"/>
      <c r="C2" s="3"/>
      <c r="D2" s="5"/>
      <c r="E2" s="6" t="s">
        <v>4</v>
      </c>
      <c r="F2" s="2"/>
      <c r="G2" s="2"/>
      <c r="H2" s="2"/>
      <c r="I2" s="2"/>
      <c r="J2" s="2"/>
      <c r="K2" s="2"/>
      <c r="L2" s="3"/>
    </row>
    <row r="3">
      <c r="A3" s="7" t="s">
        <v>5</v>
      </c>
      <c r="B3" s="7" t="s">
        <v>6</v>
      </c>
      <c r="C3" s="7" t="s">
        <v>7</v>
      </c>
      <c r="D3" s="8"/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9" t="s">
        <v>13</v>
      </c>
      <c r="K3" s="9" t="s">
        <v>14</v>
      </c>
      <c r="L3" s="9" t="s">
        <v>15</v>
      </c>
    </row>
    <row r="4">
      <c r="A4" s="10">
        <v>1.0</v>
      </c>
      <c r="B4" s="11" t="s">
        <v>16</v>
      </c>
      <c r="C4" s="12">
        <f t="shared" ref="C4:C34" si="1">E4+F4+G4+H4+I4+J4+K4+L4</f>
        <v>277</v>
      </c>
      <c r="D4" s="13"/>
      <c r="E4" s="12">
        <v>37.0</v>
      </c>
      <c r="F4" s="12">
        <v>36.0</v>
      </c>
      <c r="G4" s="12">
        <v>13.0</v>
      </c>
      <c r="H4" s="12">
        <v>32.0</v>
      </c>
      <c r="I4" s="12">
        <v>128.0</v>
      </c>
      <c r="J4" s="12">
        <v>31.0</v>
      </c>
      <c r="K4" s="12">
        <v>0.0</v>
      </c>
      <c r="L4" s="12">
        <v>0.0</v>
      </c>
    </row>
    <row r="5">
      <c r="A5" s="10">
        <v>2.0</v>
      </c>
      <c r="B5" s="11" t="s">
        <v>17</v>
      </c>
      <c r="C5" s="12">
        <f t="shared" si="1"/>
        <v>690</v>
      </c>
      <c r="D5" s="13"/>
      <c r="E5" s="12">
        <v>59.0</v>
      </c>
      <c r="F5" s="12">
        <v>0.0</v>
      </c>
      <c r="G5" s="12">
        <v>0.0</v>
      </c>
      <c r="H5" s="12">
        <v>2.0</v>
      </c>
      <c r="I5" s="12">
        <v>0.0</v>
      </c>
      <c r="J5" s="12">
        <v>629.0</v>
      </c>
      <c r="K5" s="12">
        <v>0.0</v>
      </c>
      <c r="L5" s="12">
        <v>0.0</v>
      </c>
    </row>
    <row r="6">
      <c r="A6" s="10">
        <v>3.0</v>
      </c>
      <c r="B6" s="11" t="s">
        <v>18</v>
      </c>
      <c r="C6" s="12">
        <f t="shared" si="1"/>
        <v>818</v>
      </c>
      <c r="D6" s="13"/>
      <c r="E6" s="12">
        <v>0.0</v>
      </c>
      <c r="F6" s="12">
        <v>770.0</v>
      </c>
      <c r="G6" s="12">
        <v>0.0</v>
      </c>
      <c r="H6" s="12">
        <v>0.0</v>
      </c>
      <c r="I6" s="12">
        <v>47.0</v>
      </c>
      <c r="J6" s="12">
        <v>1.0</v>
      </c>
      <c r="K6" s="12">
        <v>0.0</v>
      </c>
      <c r="L6" s="12">
        <v>0.0</v>
      </c>
    </row>
    <row r="7">
      <c r="A7" s="10">
        <v>4.0</v>
      </c>
      <c r="B7" s="11" t="s">
        <v>19</v>
      </c>
      <c r="C7" s="12">
        <f t="shared" si="1"/>
        <v>237</v>
      </c>
      <c r="D7" s="13"/>
      <c r="E7" s="12">
        <v>128.0</v>
      </c>
      <c r="F7" s="12">
        <v>0.0</v>
      </c>
      <c r="G7" s="12">
        <v>8.0</v>
      </c>
      <c r="H7" s="12">
        <v>0.0</v>
      </c>
      <c r="I7" s="12">
        <v>0.0</v>
      </c>
      <c r="J7" s="12">
        <v>101.0</v>
      </c>
      <c r="K7" s="12">
        <v>0.0</v>
      </c>
      <c r="L7" s="12">
        <v>0.0</v>
      </c>
    </row>
    <row r="8">
      <c r="A8" s="10">
        <v>5.0</v>
      </c>
      <c r="B8" s="11" t="s">
        <v>20</v>
      </c>
      <c r="C8" s="12">
        <f t="shared" si="1"/>
        <v>566</v>
      </c>
      <c r="D8" s="13"/>
      <c r="E8" s="12">
        <v>388.0</v>
      </c>
      <c r="F8" s="12">
        <v>34.0</v>
      </c>
      <c r="G8" s="12">
        <v>8.0</v>
      </c>
      <c r="H8" s="12">
        <v>23.0</v>
      </c>
      <c r="I8" s="12">
        <v>35.0</v>
      </c>
      <c r="J8" s="12">
        <v>78.0</v>
      </c>
      <c r="K8" s="12">
        <v>0.0</v>
      </c>
      <c r="L8" s="12">
        <v>0.0</v>
      </c>
    </row>
    <row r="9">
      <c r="A9" s="10">
        <v>6.0</v>
      </c>
      <c r="B9" s="14" t="s">
        <v>21</v>
      </c>
      <c r="C9" s="12">
        <f t="shared" si="1"/>
        <v>360</v>
      </c>
      <c r="D9" s="13"/>
      <c r="E9" s="12">
        <v>47.0</v>
      </c>
      <c r="F9" s="12">
        <v>1.0</v>
      </c>
      <c r="G9" s="12">
        <v>2.0</v>
      </c>
      <c r="H9" s="12">
        <v>0.0</v>
      </c>
      <c r="I9" s="12">
        <v>1.0</v>
      </c>
      <c r="J9" s="12">
        <v>309.0</v>
      </c>
      <c r="K9" s="12">
        <v>0.0</v>
      </c>
      <c r="L9" s="12">
        <v>0.0</v>
      </c>
    </row>
    <row r="10">
      <c r="A10" s="10">
        <v>7.0</v>
      </c>
      <c r="B10" s="11" t="s">
        <v>23</v>
      </c>
      <c r="C10" s="12">
        <f t="shared" si="1"/>
        <v>4</v>
      </c>
      <c r="D10" s="13"/>
      <c r="E10" s="12">
        <v>0.0</v>
      </c>
      <c r="F10" s="12">
        <v>0.0</v>
      </c>
      <c r="G10" s="12">
        <v>0.0</v>
      </c>
      <c r="H10" s="12">
        <v>0.0</v>
      </c>
      <c r="I10" s="12">
        <v>0.0</v>
      </c>
      <c r="J10" s="12">
        <v>4.0</v>
      </c>
      <c r="K10" s="12">
        <v>0.0</v>
      </c>
      <c r="L10" s="12">
        <v>0.0</v>
      </c>
    </row>
    <row r="11">
      <c r="A11" s="10">
        <v>8.0</v>
      </c>
      <c r="B11" s="11" t="s">
        <v>25</v>
      </c>
      <c r="C11" s="12">
        <f t="shared" si="1"/>
        <v>4</v>
      </c>
      <c r="D11" s="13"/>
      <c r="E11" s="12">
        <v>0.0</v>
      </c>
      <c r="F11" s="12">
        <v>0.0</v>
      </c>
      <c r="G11" s="12">
        <v>0.0</v>
      </c>
      <c r="H11" s="12">
        <v>2.0</v>
      </c>
      <c r="I11" s="12">
        <v>0.0</v>
      </c>
      <c r="J11" s="12">
        <v>2.0</v>
      </c>
      <c r="K11" s="12">
        <v>0.0</v>
      </c>
      <c r="L11" s="12">
        <v>0.0</v>
      </c>
    </row>
    <row r="12">
      <c r="A12" s="10">
        <v>9.0</v>
      </c>
      <c r="B12" s="11" t="s">
        <v>26</v>
      </c>
      <c r="C12" s="12">
        <f t="shared" si="1"/>
        <v>399</v>
      </c>
      <c r="D12" s="13"/>
      <c r="E12" s="12">
        <v>153.0</v>
      </c>
      <c r="F12" s="12">
        <v>18.0</v>
      </c>
      <c r="G12" s="12">
        <v>0.0</v>
      </c>
      <c r="H12" s="12">
        <v>33.0</v>
      </c>
      <c r="I12" s="12">
        <v>2.0</v>
      </c>
      <c r="J12" s="12">
        <v>193.0</v>
      </c>
      <c r="K12" s="12">
        <v>0.0</v>
      </c>
      <c r="L12" s="12">
        <v>0.0</v>
      </c>
    </row>
    <row r="13">
      <c r="A13" s="10">
        <v>10.0</v>
      </c>
      <c r="B13" s="14" t="s">
        <v>27</v>
      </c>
      <c r="C13" s="12">
        <f t="shared" si="1"/>
        <v>38</v>
      </c>
      <c r="D13" s="13"/>
      <c r="E13" s="12">
        <v>38.0</v>
      </c>
      <c r="F13" s="12">
        <v>0.0</v>
      </c>
      <c r="G13" s="12">
        <v>0.0</v>
      </c>
      <c r="H13" s="12">
        <v>0.0</v>
      </c>
      <c r="I13" s="12">
        <v>0.0</v>
      </c>
      <c r="J13" s="12">
        <v>0.0</v>
      </c>
      <c r="K13" s="12">
        <v>0.0</v>
      </c>
      <c r="L13" s="12">
        <v>0.0</v>
      </c>
    </row>
    <row r="14">
      <c r="A14" s="10">
        <v>11.0</v>
      </c>
      <c r="B14" s="11" t="s">
        <v>28</v>
      </c>
      <c r="C14" s="12">
        <f t="shared" si="1"/>
        <v>393</v>
      </c>
      <c r="D14" s="13"/>
      <c r="E14" s="12">
        <v>42.0</v>
      </c>
      <c r="F14" s="12">
        <v>0.0</v>
      </c>
      <c r="G14" s="12">
        <v>0.0</v>
      </c>
      <c r="H14" s="12">
        <v>7.0</v>
      </c>
      <c r="I14" s="12">
        <v>0.0</v>
      </c>
      <c r="J14" s="12">
        <v>344.0</v>
      </c>
      <c r="K14" s="12">
        <v>0.0</v>
      </c>
      <c r="L14" s="12">
        <v>0.0</v>
      </c>
    </row>
    <row r="15">
      <c r="A15" s="10">
        <v>12.0</v>
      </c>
      <c r="B15" s="11" t="s">
        <v>29</v>
      </c>
      <c r="C15" s="12">
        <f t="shared" si="1"/>
        <v>349</v>
      </c>
      <c r="D15" s="13"/>
      <c r="E15" s="12">
        <v>0.0</v>
      </c>
      <c r="F15" s="12">
        <v>340.0</v>
      </c>
      <c r="G15" s="12">
        <v>1.0</v>
      </c>
      <c r="H15" s="12">
        <v>4.0</v>
      </c>
      <c r="I15" s="12">
        <v>3.0</v>
      </c>
      <c r="J15" s="12">
        <v>1.0</v>
      </c>
      <c r="K15" s="12">
        <v>0.0</v>
      </c>
      <c r="L15" s="12">
        <v>0.0</v>
      </c>
    </row>
    <row r="16">
      <c r="A16" s="10">
        <v>13.0</v>
      </c>
      <c r="B16" s="11" t="s">
        <v>30</v>
      </c>
      <c r="C16" s="12">
        <f t="shared" si="1"/>
        <v>98</v>
      </c>
      <c r="D16" s="13"/>
      <c r="E16" s="12">
        <v>8.0</v>
      </c>
      <c r="F16" s="12">
        <v>0.0</v>
      </c>
      <c r="G16" s="12">
        <v>0.0</v>
      </c>
      <c r="H16" s="12">
        <v>12.0</v>
      </c>
      <c r="I16" s="12">
        <v>0.0</v>
      </c>
      <c r="J16" s="12">
        <v>78.0</v>
      </c>
      <c r="K16" s="12">
        <v>0.0</v>
      </c>
      <c r="L16" s="12">
        <v>0.0</v>
      </c>
    </row>
    <row r="17">
      <c r="A17" s="10">
        <v>14.0</v>
      </c>
      <c r="B17" s="11" t="s">
        <v>31</v>
      </c>
      <c r="C17" s="12">
        <f t="shared" si="1"/>
        <v>28</v>
      </c>
      <c r="D17" s="13"/>
      <c r="E17" s="12">
        <v>22.0</v>
      </c>
      <c r="F17" s="12">
        <v>0.0</v>
      </c>
      <c r="G17" s="12">
        <v>0.0</v>
      </c>
      <c r="H17" s="12">
        <v>5.0</v>
      </c>
      <c r="I17" s="12">
        <v>1.0</v>
      </c>
      <c r="J17" s="12">
        <v>0.0</v>
      </c>
      <c r="K17" s="12">
        <v>0.0</v>
      </c>
      <c r="L17" s="12">
        <v>0.0</v>
      </c>
    </row>
    <row r="18">
      <c r="A18" s="10">
        <v>15.0</v>
      </c>
      <c r="B18" s="11" t="s">
        <v>32</v>
      </c>
      <c r="C18" s="12">
        <f t="shared" si="1"/>
        <v>17</v>
      </c>
      <c r="D18" s="13"/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17.0</v>
      </c>
      <c r="K18" s="12">
        <v>0.0</v>
      </c>
      <c r="L18" s="12">
        <v>0.0</v>
      </c>
    </row>
    <row r="19">
      <c r="A19" s="10">
        <v>16.0</v>
      </c>
      <c r="B19" s="14" t="s">
        <v>33</v>
      </c>
      <c r="C19" s="12">
        <f t="shared" si="1"/>
        <v>73</v>
      </c>
      <c r="D19" s="13"/>
      <c r="E19" s="12">
        <v>0.0</v>
      </c>
      <c r="F19" s="12">
        <v>0.0</v>
      </c>
      <c r="G19" s="12">
        <v>0.0</v>
      </c>
      <c r="H19" s="12">
        <v>10.0</v>
      </c>
      <c r="I19" s="12">
        <v>0.0</v>
      </c>
      <c r="J19" s="12">
        <v>63.0</v>
      </c>
      <c r="K19" s="12">
        <v>0.0</v>
      </c>
      <c r="L19" s="12">
        <v>0.0</v>
      </c>
    </row>
    <row r="20">
      <c r="A20" s="10">
        <v>17.0</v>
      </c>
      <c r="B20" s="14" t="s">
        <v>34</v>
      </c>
      <c r="C20" s="12">
        <f t="shared" si="1"/>
        <v>287</v>
      </c>
      <c r="D20" s="13"/>
      <c r="E20" s="12">
        <v>0.0</v>
      </c>
      <c r="F20" s="12">
        <v>155.0</v>
      </c>
      <c r="G20" s="12">
        <v>0.0</v>
      </c>
      <c r="H20" s="12">
        <v>9.0</v>
      </c>
      <c r="I20" s="12">
        <v>5.0</v>
      </c>
      <c r="J20" s="12">
        <v>118.0</v>
      </c>
      <c r="K20" s="12">
        <v>0.0</v>
      </c>
      <c r="L20" s="12">
        <v>0.0</v>
      </c>
    </row>
    <row r="21">
      <c r="A21" s="10">
        <v>18.0</v>
      </c>
      <c r="B21" s="14" t="s">
        <v>35</v>
      </c>
      <c r="C21" s="12">
        <f t="shared" si="1"/>
        <v>0</v>
      </c>
      <c r="D21" s="13"/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</row>
    <row r="22">
      <c r="A22" s="16">
        <v>19.0</v>
      </c>
      <c r="B22" s="11" t="s">
        <v>36</v>
      </c>
      <c r="C22" s="12">
        <f t="shared" si="1"/>
        <v>96</v>
      </c>
      <c r="D22" s="13"/>
      <c r="E22" s="12">
        <v>33.0</v>
      </c>
      <c r="F22" s="12">
        <v>17.0</v>
      </c>
      <c r="G22" s="12">
        <v>22.0</v>
      </c>
      <c r="H22" s="12">
        <v>17.0</v>
      </c>
      <c r="I22" s="12">
        <v>3.0</v>
      </c>
      <c r="J22" s="12">
        <v>4.0</v>
      </c>
      <c r="K22" s="12">
        <v>0.0</v>
      </c>
      <c r="L22" s="12">
        <v>0.0</v>
      </c>
    </row>
    <row r="23">
      <c r="A23" s="16">
        <v>20.0</v>
      </c>
      <c r="B23" s="14" t="s">
        <v>37</v>
      </c>
      <c r="C23" s="12">
        <f t="shared" si="1"/>
        <v>49</v>
      </c>
      <c r="D23" s="13"/>
      <c r="E23" s="12">
        <v>47.0</v>
      </c>
      <c r="F23" s="12">
        <v>0.0</v>
      </c>
      <c r="G23" s="12">
        <v>0.0</v>
      </c>
      <c r="H23" s="12">
        <v>0.0</v>
      </c>
      <c r="I23" s="12">
        <v>2.0</v>
      </c>
      <c r="J23" s="12">
        <v>0.0</v>
      </c>
      <c r="K23" s="12">
        <v>0.0</v>
      </c>
      <c r="L23" s="12">
        <v>0.0</v>
      </c>
      <c r="N23" s="15" t="s">
        <v>0</v>
      </c>
    </row>
    <row r="24">
      <c r="A24" s="10">
        <v>21.0</v>
      </c>
      <c r="B24" s="11" t="s">
        <v>41</v>
      </c>
      <c r="C24" s="12">
        <f t="shared" si="1"/>
        <v>4</v>
      </c>
      <c r="D24" s="13"/>
      <c r="E24" s="12">
        <v>0.0</v>
      </c>
      <c r="F24" s="12">
        <v>0.0</v>
      </c>
      <c r="G24" s="12">
        <v>0.0</v>
      </c>
      <c r="H24" s="12">
        <v>4.0</v>
      </c>
      <c r="I24" s="12">
        <v>0.0</v>
      </c>
      <c r="J24" s="12">
        <v>0.0</v>
      </c>
      <c r="K24" s="12">
        <v>0.0</v>
      </c>
      <c r="L24" s="12">
        <v>0.0</v>
      </c>
    </row>
    <row r="25">
      <c r="A25" s="10">
        <v>22.0</v>
      </c>
      <c r="B25" s="11" t="s">
        <v>39</v>
      </c>
      <c r="C25" s="12">
        <f t="shared" si="1"/>
        <v>185</v>
      </c>
      <c r="D25" s="13"/>
      <c r="E25" s="12">
        <v>157.0</v>
      </c>
      <c r="F25" s="12">
        <v>10.0</v>
      </c>
      <c r="G25" s="12">
        <v>13.0</v>
      </c>
      <c r="H25" s="12">
        <v>5.0</v>
      </c>
      <c r="I25" s="12">
        <v>0.0</v>
      </c>
      <c r="J25" s="12">
        <v>0.0</v>
      </c>
      <c r="K25" s="12">
        <v>0.0</v>
      </c>
      <c r="L25" s="12">
        <v>0.0</v>
      </c>
    </row>
    <row r="26">
      <c r="A26" s="10">
        <v>23.0</v>
      </c>
      <c r="B26" s="14" t="s">
        <v>40</v>
      </c>
      <c r="C26" s="12">
        <f t="shared" si="1"/>
        <v>397</v>
      </c>
      <c r="D26" s="13"/>
      <c r="E26" s="12">
        <v>338.0</v>
      </c>
      <c r="F26" s="12">
        <v>23.0</v>
      </c>
      <c r="G26" s="12">
        <v>0.0</v>
      </c>
      <c r="H26" s="12">
        <v>25.0</v>
      </c>
      <c r="I26" s="12">
        <v>9.0</v>
      </c>
      <c r="J26" s="12">
        <v>2.0</v>
      </c>
      <c r="K26" s="12">
        <v>0.0</v>
      </c>
      <c r="L26" s="12">
        <v>0.0</v>
      </c>
    </row>
    <row r="27">
      <c r="A27" s="10">
        <v>24.0</v>
      </c>
      <c r="B27" s="14" t="s">
        <v>42</v>
      </c>
      <c r="C27" s="12">
        <f t="shared" si="1"/>
        <v>34</v>
      </c>
      <c r="D27" s="13"/>
      <c r="E27" s="12">
        <v>28.0</v>
      </c>
      <c r="F27" s="12">
        <v>0.0</v>
      </c>
      <c r="G27" s="12">
        <v>0.0</v>
      </c>
      <c r="H27" s="12">
        <v>0.0</v>
      </c>
      <c r="I27" s="12">
        <v>0.0</v>
      </c>
      <c r="J27" s="12">
        <v>6.0</v>
      </c>
      <c r="K27" s="12">
        <v>0.0</v>
      </c>
      <c r="L27" s="12">
        <v>0.0</v>
      </c>
    </row>
    <row r="28">
      <c r="A28" s="10">
        <v>25.0</v>
      </c>
      <c r="B28" s="14" t="s">
        <v>43</v>
      </c>
      <c r="C28" s="12">
        <f t="shared" si="1"/>
        <v>30</v>
      </c>
      <c r="D28" s="13"/>
      <c r="E28" s="12">
        <v>26.0</v>
      </c>
      <c r="F28" s="12">
        <v>0.0</v>
      </c>
      <c r="G28" s="12">
        <v>0.0</v>
      </c>
      <c r="H28" s="12">
        <v>0.0</v>
      </c>
      <c r="I28" s="12">
        <v>0.0</v>
      </c>
      <c r="J28" s="12">
        <v>4.0</v>
      </c>
      <c r="K28" s="12">
        <v>0.0</v>
      </c>
      <c r="L28" s="12">
        <v>0.0</v>
      </c>
    </row>
    <row r="29">
      <c r="A29" s="10">
        <v>26.0</v>
      </c>
      <c r="B29" s="11" t="s">
        <v>44</v>
      </c>
      <c r="C29" s="12">
        <f t="shared" si="1"/>
        <v>618</v>
      </c>
      <c r="D29" s="13"/>
      <c r="E29" s="12">
        <v>0.0</v>
      </c>
      <c r="F29" s="12">
        <v>245.0</v>
      </c>
      <c r="G29" s="12">
        <v>0.0</v>
      </c>
      <c r="H29" s="12">
        <v>373.0</v>
      </c>
      <c r="I29" s="12">
        <v>0.0</v>
      </c>
      <c r="J29" s="12">
        <v>0.0</v>
      </c>
      <c r="K29" s="12">
        <v>0.0</v>
      </c>
      <c r="L29" s="12">
        <v>0.0</v>
      </c>
    </row>
    <row r="30">
      <c r="A30" s="10">
        <v>27.0</v>
      </c>
      <c r="B30" s="11" t="s">
        <v>45</v>
      </c>
      <c r="C30" s="12">
        <f t="shared" si="1"/>
        <v>11</v>
      </c>
      <c r="D30" s="13"/>
      <c r="E30" s="12">
        <v>11.0</v>
      </c>
      <c r="F30" s="12">
        <v>0.0</v>
      </c>
      <c r="G30" s="12">
        <v>0.0</v>
      </c>
      <c r="H30" s="12">
        <v>0.0</v>
      </c>
      <c r="I30" s="12">
        <v>0.0</v>
      </c>
      <c r="J30" s="12">
        <v>0.0</v>
      </c>
      <c r="K30" s="12">
        <v>0.0</v>
      </c>
      <c r="L30" s="12">
        <v>0.0</v>
      </c>
    </row>
    <row r="31">
      <c r="A31" s="10">
        <v>28.0</v>
      </c>
      <c r="B31" s="17" t="s">
        <v>46</v>
      </c>
      <c r="C31" s="12">
        <f t="shared" si="1"/>
        <v>13</v>
      </c>
      <c r="D31" s="13"/>
      <c r="E31" s="12">
        <v>0.0</v>
      </c>
      <c r="F31" s="12">
        <v>0.0</v>
      </c>
      <c r="G31" s="12">
        <v>0.0</v>
      </c>
      <c r="H31" s="12">
        <v>0.0</v>
      </c>
      <c r="I31" s="12">
        <v>13.0</v>
      </c>
      <c r="J31" s="12">
        <v>0.0</v>
      </c>
      <c r="K31" s="12">
        <v>0.0</v>
      </c>
      <c r="L31" s="12">
        <v>0.0</v>
      </c>
    </row>
    <row r="32">
      <c r="A32" s="10">
        <v>29.0</v>
      </c>
      <c r="B32" s="11" t="s">
        <v>15</v>
      </c>
      <c r="C32" s="12">
        <f t="shared" si="1"/>
        <v>0</v>
      </c>
      <c r="D32" s="13"/>
      <c r="E32" s="12">
        <v>0.0</v>
      </c>
      <c r="F32" s="12">
        <v>0.0</v>
      </c>
      <c r="G32" s="12">
        <v>0.0</v>
      </c>
      <c r="H32" s="12">
        <v>0.0</v>
      </c>
      <c r="I32" s="12">
        <v>0.0</v>
      </c>
      <c r="J32" s="12">
        <v>0.0</v>
      </c>
      <c r="K32" s="12">
        <v>0.0</v>
      </c>
      <c r="L32" s="12">
        <v>0.0</v>
      </c>
    </row>
    <row r="33">
      <c r="A33" s="10">
        <v>30.0</v>
      </c>
      <c r="B33" s="11" t="s">
        <v>47</v>
      </c>
      <c r="C33" s="12">
        <f t="shared" si="1"/>
        <v>0</v>
      </c>
      <c r="D33" s="18"/>
      <c r="E33" s="12">
        <v>0.0</v>
      </c>
      <c r="F33" s="12">
        <v>0.0</v>
      </c>
      <c r="G33" s="12">
        <v>0.0</v>
      </c>
      <c r="H33" s="12">
        <v>0.0</v>
      </c>
      <c r="I33" s="12">
        <v>0.0</v>
      </c>
      <c r="J33" s="12">
        <v>0.0</v>
      </c>
      <c r="K33" s="12">
        <v>0.0</v>
      </c>
      <c r="L33" s="12">
        <v>0.0</v>
      </c>
    </row>
    <row r="34">
      <c r="A34" s="19" t="s">
        <v>48</v>
      </c>
      <c r="B34" s="3"/>
      <c r="C34" s="12">
        <f t="shared" si="1"/>
        <v>6075</v>
      </c>
      <c r="D34" s="21"/>
      <c r="E34" s="20">
        <f t="shared" ref="E34:L34" si="2">SUM(E4:E33)</f>
        <v>1562</v>
      </c>
      <c r="F34" s="20">
        <f t="shared" si="2"/>
        <v>1649</v>
      </c>
      <c r="G34" s="20">
        <f t="shared" si="2"/>
        <v>67</v>
      </c>
      <c r="H34" s="20">
        <f t="shared" si="2"/>
        <v>563</v>
      </c>
      <c r="I34" s="20">
        <f t="shared" si="2"/>
        <v>249</v>
      </c>
      <c r="J34" s="22">
        <f t="shared" si="2"/>
        <v>1985</v>
      </c>
      <c r="K34" s="20">
        <f t="shared" si="2"/>
        <v>0</v>
      </c>
      <c r="L34" s="20">
        <f t="shared" si="2"/>
        <v>0</v>
      </c>
    </row>
    <row r="35">
      <c r="A35" s="23"/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</row>
    <row r="36">
      <c r="A36" s="24" t="s">
        <v>49</v>
      </c>
      <c r="B36" s="2"/>
      <c r="C36" s="3"/>
      <c r="D36" s="25"/>
      <c r="E36" s="26" t="s">
        <v>50</v>
      </c>
      <c r="F36" s="2"/>
      <c r="G36" s="2"/>
      <c r="H36" s="2"/>
      <c r="I36" s="2"/>
      <c r="J36" s="2"/>
      <c r="K36" s="2"/>
      <c r="L36" s="3"/>
    </row>
    <row r="37">
      <c r="A37" s="7" t="s">
        <v>5</v>
      </c>
      <c r="B37" s="7" t="s">
        <v>51</v>
      </c>
      <c r="C37" s="7" t="s">
        <v>7</v>
      </c>
      <c r="D37" s="8"/>
      <c r="E37" s="9" t="s">
        <v>8</v>
      </c>
      <c r="F37" s="9" t="s">
        <v>9</v>
      </c>
      <c r="G37" s="9" t="s">
        <v>10</v>
      </c>
      <c r="H37" s="9" t="s">
        <v>11</v>
      </c>
      <c r="I37" s="9" t="s">
        <v>12</v>
      </c>
      <c r="J37" s="9" t="s">
        <v>13</v>
      </c>
      <c r="K37" s="9" t="s">
        <v>14</v>
      </c>
      <c r="L37" s="9" t="s">
        <v>15</v>
      </c>
    </row>
    <row r="38">
      <c r="A38" s="27">
        <v>1.0</v>
      </c>
      <c r="B38" s="17" t="s">
        <v>16</v>
      </c>
      <c r="C38" s="7">
        <f t="shared" ref="C38:C67" si="3">E38+F38+G38+H38+I38+J38+K38+L38</f>
        <v>162</v>
      </c>
      <c r="D38" s="13"/>
      <c r="E38" s="7">
        <v>0.0</v>
      </c>
      <c r="F38" s="7">
        <v>0.0</v>
      </c>
      <c r="G38" s="7">
        <v>0.0</v>
      </c>
      <c r="H38" s="7">
        <v>0.0</v>
      </c>
      <c r="I38" s="7">
        <v>162.0</v>
      </c>
      <c r="J38" s="7">
        <v>0.0</v>
      </c>
      <c r="K38" s="7">
        <v>0.0</v>
      </c>
      <c r="L38" s="7">
        <v>0.0</v>
      </c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10">
        <v>2.0</v>
      </c>
      <c r="B39" s="11" t="s">
        <v>17</v>
      </c>
      <c r="C39" s="12">
        <f t="shared" si="3"/>
        <v>0</v>
      </c>
      <c r="D39" s="13"/>
      <c r="E39" s="12">
        <v>0.0</v>
      </c>
      <c r="F39" s="12">
        <v>0.0</v>
      </c>
      <c r="G39" s="12">
        <v>0.0</v>
      </c>
      <c r="H39" s="12">
        <v>0.0</v>
      </c>
      <c r="I39" s="12">
        <v>0.0</v>
      </c>
      <c r="J39" s="12">
        <v>0.0</v>
      </c>
      <c r="K39" s="12">
        <v>0.0</v>
      </c>
      <c r="L39" s="12">
        <v>0.0</v>
      </c>
    </row>
    <row r="40">
      <c r="A40" s="27">
        <v>3.0</v>
      </c>
      <c r="B40" s="17" t="s">
        <v>18</v>
      </c>
      <c r="C40" s="7">
        <f t="shared" si="3"/>
        <v>246</v>
      </c>
      <c r="D40" s="13"/>
      <c r="E40" s="7">
        <v>0.0</v>
      </c>
      <c r="F40" s="7">
        <v>246.0</v>
      </c>
      <c r="G40" s="7">
        <v>0.0</v>
      </c>
      <c r="H40" s="7">
        <v>0.0</v>
      </c>
      <c r="I40" s="7">
        <v>0.0</v>
      </c>
      <c r="J40" s="7">
        <v>0.0</v>
      </c>
      <c r="K40" s="7">
        <v>0.0</v>
      </c>
      <c r="L40" s="7">
        <v>0.0</v>
      </c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>
      <c r="A41" s="10">
        <v>4.0</v>
      </c>
      <c r="B41" s="11" t="s">
        <v>19</v>
      </c>
      <c r="C41" s="12">
        <f t="shared" si="3"/>
        <v>0</v>
      </c>
      <c r="D41" s="13"/>
      <c r="E41" s="12">
        <v>0.0</v>
      </c>
      <c r="F41" s="12">
        <v>0.0</v>
      </c>
      <c r="G41" s="12">
        <v>0.0</v>
      </c>
      <c r="H41" s="12">
        <v>0.0</v>
      </c>
      <c r="I41" s="12">
        <v>0.0</v>
      </c>
      <c r="J41" s="12">
        <v>0.0</v>
      </c>
      <c r="K41" s="12">
        <v>0.0</v>
      </c>
      <c r="L41" s="12">
        <v>0.0</v>
      </c>
    </row>
    <row r="42">
      <c r="A42" s="10">
        <v>5.0</v>
      </c>
      <c r="B42" s="17" t="s">
        <v>20</v>
      </c>
      <c r="C42" s="7">
        <f t="shared" si="3"/>
        <v>618</v>
      </c>
      <c r="D42" s="13"/>
      <c r="E42" s="7">
        <v>618.0</v>
      </c>
      <c r="F42" s="12">
        <v>0.0</v>
      </c>
      <c r="G42" s="12">
        <v>0.0</v>
      </c>
      <c r="H42" s="12">
        <v>0.0</v>
      </c>
      <c r="I42" s="12">
        <v>0.0</v>
      </c>
      <c r="J42" s="12">
        <v>0.0</v>
      </c>
      <c r="K42" s="12">
        <v>0.0</v>
      </c>
      <c r="L42" s="12">
        <v>0.0</v>
      </c>
    </row>
    <row r="43">
      <c r="A43" s="10">
        <v>6.0</v>
      </c>
      <c r="B43" s="14" t="s">
        <v>21</v>
      </c>
      <c r="C43" s="12">
        <f t="shared" si="3"/>
        <v>0</v>
      </c>
      <c r="D43" s="13"/>
      <c r="E43" s="12">
        <v>0.0</v>
      </c>
      <c r="F43" s="12">
        <v>0.0</v>
      </c>
      <c r="G43" s="12">
        <v>0.0</v>
      </c>
      <c r="H43" s="12">
        <v>0.0</v>
      </c>
      <c r="I43" s="12">
        <v>0.0</v>
      </c>
      <c r="J43" s="12">
        <v>0.0</v>
      </c>
      <c r="K43" s="12">
        <v>0.0</v>
      </c>
      <c r="L43" s="12">
        <v>0.0</v>
      </c>
    </row>
    <row r="44">
      <c r="A44" s="10">
        <v>7.0</v>
      </c>
      <c r="B44" s="11" t="s">
        <v>23</v>
      </c>
      <c r="C44" s="12">
        <f t="shared" si="3"/>
        <v>0</v>
      </c>
      <c r="D44" s="13"/>
      <c r="E44" s="12">
        <v>0.0</v>
      </c>
      <c r="F44" s="12">
        <v>0.0</v>
      </c>
      <c r="G44" s="12">
        <v>0.0</v>
      </c>
      <c r="H44" s="12">
        <v>0.0</v>
      </c>
      <c r="I44" s="12">
        <v>0.0</v>
      </c>
      <c r="J44" s="12">
        <v>0.0</v>
      </c>
      <c r="K44" s="12">
        <v>0.0</v>
      </c>
      <c r="L44" s="12">
        <v>0.0</v>
      </c>
    </row>
    <row r="45">
      <c r="A45" s="10">
        <v>8.0</v>
      </c>
      <c r="B45" s="11" t="s">
        <v>25</v>
      </c>
      <c r="C45" s="12">
        <f t="shared" si="3"/>
        <v>0</v>
      </c>
      <c r="D45" s="13"/>
      <c r="E45" s="12">
        <v>0.0</v>
      </c>
      <c r="F45" s="12">
        <v>0.0</v>
      </c>
      <c r="G45" s="12">
        <v>0.0</v>
      </c>
      <c r="H45" s="12">
        <v>0.0</v>
      </c>
      <c r="I45" s="12">
        <v>0.0</v>
      </c>
      <c r="J45" s="12">
        <v>0.0</v>
      </c>
      <c r="K45" s="12">
        <v>0.0</v>
      </c>
      <c r="L45" s="12">
        <v>0.0</v>
      </c>
    </row>
    <row r="46">
      <c r="A46" s="10">
        <v>9.0</v>
      </c>
      <c r="B46" s="11" t="s">
        <v>26</v>
      </c>
      <c r="C46" s="12">
        <f t="shared" si="3"/>
        <v>0</v>
      </c>
      <c r="D46" s="13"/>
      <c r="E46" s="12">
        <v>0.0</v>
      </c>
      <c r="F46" s="12">
        <v>0.0</v>
      </c>
      <c r="G46" s="12">
        <v>0.0</v>
      </c>
      <c r="H46" s="12">
        <v>0.0</v>
      </c>
      <c r="I46" s="12">
        <v>0.0</v>
      </c>
      <c r="J46" s="12">
        <v>0.0</v>
      </c>
      <c r="K46" s="12">
        <v>0.0</v>
      </c>
      <c r="L46" s="12">
        <v>0.0</v>
      </c>
    </row>
    <row r="47">
      <c r="A47" s="10">
        <v>10.0</v>
      </c>
      <c r="B47" s="14" t="s">
        <v>27</v>
      </c>
      <c r="C47" s="12">
        <f t="shared" si="3"/>
        <v>0</v>
      </c>
      <c r="D47" s="13"/>
      <c r="E47" s="12">
        <v>0.0</v>
      </c>
      <c r="F47" s="12">
        <v>0.0</v>
      </c>
      <c r="G47" s="12">
        <v>0.0</v>
      </c>
      <c r="H47" s="12">
        <v>0.0</v>
      </c>
      <c r="I47" s="12">
        <v>0.0</v>
      </c>
      <c r="J47" s="12">
        <v>0.0</v>
      </c>
      <c r="K47" s="12">
        <v>0.0</v>
      </c>
      <c r="L47" s="12">
        <v>0.0</v>
      </c>
    </row>
    <row r="48">
      <c r="A48" s="10">
        <v>11.0</v>
      </c>
      <c r="B48" s="11" t="s">
        <v>28</v>
      </c>
      <c r="C48" s="12">
        <f t="shared" si="3"/>
        <v>0</v>
      </c>
      <c r="D48" s="13"/>
      <c r="E48" s="12">
        <v>0.0</v>
      </c>
      <c r="F48" s="12">
        <v>0.0</v>
      </c>
      <c r="G48" s="12">
        <v>0.0</v>
      </c>
      <c r="H48" s="12">
        <v>0.0</v>
      </c>
      <c r="I48" s="12">
        <v>0.0</v>
      </c>
      <c r="J48" s="12">
        <v>0.0</v>
      </c>
      <c r="K48" s="12">
        <v>0.0</v>
      </c>
      <c r="L48" s="12">
        <v>0.0</v>
      </c>
    </row>
    <row r="49">
      <c r="A49" s="27">
        <v>12.0</v>
      </c>
      <c r="B49" s="17" t="s">
        <v>29</v>
      </c>
      <c r="C49" s="7">
        <f t="shared" si="3"/>
        <v>180</v>
      </c>
      <c r="D49" s="13"/>
      <c r="E49" s="7">
        <v>0.0</v>
      </c>
      <c r="F49" s="7">
        <v>180.0</v>
      </c>
      <c r="G49" s="7">
        <v>0.0</v>
      </c>
      <c r="H49" s="7">
        <v>0.0</v>
      </c>
      <c r="I49" s="7">
        <v>0.0</v>
      </c>
      <c r="J49" s="7">
        <v>0.0</v>
      </c>
      <c r="K49" s="7">
        <v>0.0</v>
      </c>
      <c r="L49" s="7">
        <v>0.0</v>
      </c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>
      <c r="A50" s="10">
        <v>13.0</v>
      </c>
      <c r="B50" s="11" t="s">
        <v>30</v>
      </c>
      <c r="C50" s="12">
        <f t="shared" si="3"/>
        <v>0</v>
      </c>
      <c r="D50" s="13"/>
      <c r="E50" s="12">
        <v>0.0</v>
      </c>
      <c r="F50" s="12">
        <v>0.0</v>
      </c>
      <c r="G50" s="12">
        <v>0.0</v>
      </c>
      <c r="H50" s="12">
        <v>0.0</v>
      </c>
      <c r="I50" s="12">
        <v>0.0</v>
      </c>
      <c r="J50" s="12">
        <v>0.0</v>
      </c>
      <c r="K50" s="12">
        <v>0.0</v>
      </c>
      <c r="L50" s="12">
        <v>0.0</v>
      </c>
    </row>
    <row r="51">
      <c r="A51" s="10">
        <v>14.0</v>
      </c>
      <c r="B51" s="11" t="s">
        <v>31</v>
      </c>
      <c r="C51" s="12">
        <f t="shared" si="3"/>
        <v>0</v>
      </c>
      <c r="D51" s="13"/>
      <c r="E51" s="12">
        <v>0.0</v>
      </c>
      <c r="F51" s="12">
        <v>0.0</v>
      </c>
      <c r="G51" s="12">
        <v>0.0</v>
      </c>
      <c r="H51" s="12">
        <v>0.0</v>
      </c>
      <c r="I51" s="12">
        <v>0.0</v>
      </c>
      <c r="J51" s="12">
        <v>0.0</v>
      </c>
      <c r="K51" s="12">
        <v>0.0</v>
      </c>
      <c r="L51" s="12">
        <v>0.0</v>
      </c>
    </row>
    <row r="52">
      <c r="A52" s="10">
        <v>15.0</v>
      </c>
      <c r="B52" s="11" t="s">
        <v>32</v>
      </c>
      <c r="C52" s="12">
        <f t="shared" si="3"/>
        <v>0</v>
      </c>
      <c r="D52" s="13"/>
      <c r="E52" s="12">
        <v>0.0</v>
      </c>
      <c r="F52" s="12">
        <v>0.0</v>
      </c>
      <c r="G52" s="12">
        <v>0.0</v>
      </c>
      <c r="H52" s="12">
        <v>0.0</v>
      </c>
      <c r="I52" s="12">
        <v>0.0</v>
      </c>
      <c r="J52" s="12">
        <v>0.0</v>
      </c>
      <c r="K52" s="12">
        <v>0.0</v>
      </c>
      <c r="L52" s="12">
        <v>0.0</v>
      </c>
    </row>
    <row r="53">
      <c r="A53" s="10">
        <v>16.0</v>
      </c>
      <c r="B53" s="14" t="s">
        <v>33</v>
      </c>
      <c r="C53" s="12">
        <f t="shared" si="3"/>
        <v>0</v>
      </c>
      <c r="D53" s="13"/>
      <c r="E53" s="12">
        <v>0.0</v>
      </c>
      <c r="F53" s="12">
        <v>0.0</v>
      </c>
      <c r="G53" s="12">
        <v>0.0</v>
      </c>
      <c r="H53" s="12">
        <v>0.0</v>
      </c>
      <c r="I53" s="12">
        <v>0.0</v>
      </c>
      <c r="J53" s="12">
        <v>0.0</v>
      </c>
      <c r="K53" s="12">
        <v>0.0</v>
      </c>
      <c r="L53" s="12">
        <v>0.0</v>
      </c>
    </row>
    <row r="54">
      <c r="A54" s="10">
        <v>17.0</v>
      </c>
      <c r="B54" s="29" t="s">
        <v>34</v>
      </c>
      <c r="C54" s="7">
        <f t="shared" si="3"/>
        <v>0</v>
      </c>
      <c r="D54" s="13"/>
      <c r="E54" s="12">
        <v>0.0</v>
      </c>
      <c r="F54" s="7">
        <v>0.0</v>
      </c>
      <c r="G54" s="12">
        <v>0.0</v>
      </c>
      <c r="H54" s="12">
        <v>0.0</v>
      </c>
      <c r="I54" s="12">
        <v>0.0</v>
      </c>
      <c r="J54" s="12">
        <v>0.0</v>
      </c>
      <c r="K54" s="12">
        <v>0.0</v>
      </c>
      <c r="L54" s="12">
        <v>0.0</v>
      </c>
    </row>
    <row r="55">
      <c r="A55" s="10">
        <v>18.0</v>
      </c>
      <c r="B55" s="14" t="s">
        <v>35</v>
      </c>
      <c r="C55" s="12">
        <f t="shared" si="3"/>
        <v>0</v>
      </c>
      <c r="D55" s="13"/>
      <c r="E55" s="12">
        <v>0.0</v>
      </c>
      <c r="F55" s="12">
        <v>0.0</v>
      </c>
      <c r="G55" s="12">
        <v>0.0</v>
      </c>
      <c r="H55" s="12">
        <v>0.0</v>
      </c>
      <c r="I55" s="12">
        <v>0.0</v>
      </c>
      <c r="J55" s="12">
        <v>0.0</v>
      </c>
      <c r="K55" s="12">
        <v>0.0</v>
      </c>
      <c r="L55" s="12">
        <v>0.0</v>
      </c>
    </row>
    <row r="56">
      <c r="A56" s="16">
        <v>19.0</v>
      </c>
      <c r="B56" s="17" t="s">
        <v>36</v>
      </c>
      <c r="C56" s="7">
        <f t="shared" si="3"/>
        <v>1293</v>
      </c>
      <c r="D56" s="13"/>
      <c r="E56" s="12">
        <v>0.0</v>
      </c>
      <c r="F56" s="12">
        <v>0.0</v>
      </c>
      <c r="G56" s="7">
        <v>1293.0</v>
      </c>
      <c r="H56" s="12">
        <v>0.0</v>
      </c>
      <c r="I56" s="12">
        <v>0.0</v>
      </c>
      <c r="J56" s="12">
        <v>0.0</v>
      </c>
      <c r="K56" s="12">
        <v>0.0</v>
      </c>
      <c r="L56" s="12">
        <v>0.0</v>
      </c>
    </row>
    <row r="57">
      <c r="A57" s="16">
        <v>20.0</v>
      </c>
      <c r="B57" s="14" t="s">
        <v>37</v>
      </c>
      <c r="C57" s="12">
        <f t="shared" si="3"/>
        <v>0</v>
      </c>
      <c r="D57" s="13"/>
      <c r="E57" s="12">
        <v>0.0</v>
      </c>
      <c r="F57" s="12">
        <v>0.0</v>
      </c>
      <c r="G57" s="12">
        <v>0.0</v>
      </c>
      <c r="H57" s="12">
        <v>0.0</v>
      </c>
      <c r="I57" s="12">
        <v>0.0</v>
      </c>
      <c r="J57" s="12">
        <v>0.0</v>
      </c>
      <c r="K57" s="12">
        <v>0.0</v>
      </c>
      <c r="L57" s="12">
        <v>0.0</v>
      </c>
    </row>
    <row r="58">
      <c r="A58" s="10">
        <v>21.0</v>
      </c>
      <c r="B58" s="11" t="s">
        <v>38</v>
      </c>
      <c r="C58" s="12">
        <f t="shared" si="3"/>
        <v>0</v>
      </c>
      <c r="D58" s="13"/>
      <c r="E58" s="12">
        <v>0.0</v>
      </c>
      <c r="F58" s="12">
        <v>0.0</v>
      </c>
      <c r="G58" s="12">
        <v>0.0</v>
      </c>
      <c r="H58" s="12">
        <v>0.0</v>
      </c>
      <c r="I58" s="12">
        <v>0.0</v>
      </c>
      <c r="J58" s="12">
        <v>0.0</v>
      </c>
      <c r="K58" s="12">
        <v>0.0</v>
      </c>
      <c r="L58" s="12">
        <v>0.0</v>
      </c>
    </row>
    <row r="59">
      <c r="A59" s="10">
        <v>22.0</v>
      </c>
      <c r="B59" s="11" t="s">
        <v>39</v>
      </c>
      <c r="C59" s="12">
        <f t="shared" si="3"/>
        <v>0</v>
      </c>
      <c r="D59" s="13"/>
      <c r="E59" s="12">
        <v>0.0</v>
      </c>
      <c r="F59" s="12">
        <v>0.0</v>
      </c>
      <c r="G59" s="12">
        <v>0.0</v>
      </c>
      <c r="H59" s="12">
        <v>0.0</v>
      </c>
      <c r="I59" s="12">
        <v>0.0</v>
      </c>
      <c r="J59" s="12">
        <v>0.0</v>
      </c>
      <c r="K59" s="12">
        <v>0.0</v>
      </c>
      <c r="L59" s="12">
        <v>0.0</v>
      </c>
    </row>
    <row r="60">
      <c r="A60" s="10">
        <v>23.0</v>
      </c>
      <c r="B60" s="14" t="s">
        <v>40</v>
      </c>
      <c r="C60" s="12">
        <f t="shared" si="3"/>
        <v>0</v>
      </c>
      <c r="D60" s="13"/>
      <c r="E60" s="12">
        <v>0.0</v>
      </c>
      <c r="F60" s="12">
        <v>0.0</v>
      </c>
      <c r="G60" s="12">
        <v>0.0</v>
      </c>
      <c r="H60" s="12">
        <v>0.0</v>
      </c>
      <c r="I60" s="12">
        <v>0.0</v>
      </c>
      <c r="J60" s="12">
        <v>0.0</v>
      </c>
      <c r="K60" s="12">
        <v>0.0</v>
      </c>
      <c r="L60" s="12">
        <v>0.0</v>
      </c>
    </row>
    <row r="61">
      <c r="A61" s="10">
        <v>24.0</v>
      </c>
      <c r="B61" s="14" t="s">
        <v>42</v>
      </c>
      <c r="C61" s="12">
        <f t="shared" si="3"/>
        <v>0</v>
      </c>
      <c r="D61" s="13"/>
      <c r="E61" s="12">
        <v>0.0</v>
      </c>
      <c r="F61" s="12">
        <v>0.0</v>
      </c>
      <c r="G61" s="12">
        <v>0.0</v>
      </c>
      <c r="H61" s="12">
        <v>0.0</v>
      </c>
      <c r="I61" s="12">
        <v>0.0</v>
      </c>
      <c r="J61" s="12">
        <v>0.0</v>
      </c>
      <c r="K61" s="12">
        <v>0.0</v>
      </c>
      <c r="L61" s="12">
        <v>0.0</v>
      </c>
    </row>
    <row r="62">
      <c r="A62" s="10">
        <v>25.0</v>
      </c>
      <c r="B62" s="14" t="s">
        <v>43</v>
      </c>
      <c r="C62" s="12">
        <f t="shared" si="3"/>
        <v>0</v>
      </c>
      <c r="D62" s="13"/>
      <c r="E62" s="12">
        <v>0.0</v>
      </c>
      <c r="F62" s="12">
        <v>0.0</v>
      </c>
      <c r="G62" s="12">
        <v>0.0</v>
      </c>
      <c r="H62" s="12">
        <v>0.0</v>
      </c>
      <c r="I62" s="12">
        <v>0.0</v>
      </c>
      <c r="J62" s="12">
        <v>0.0</v>
      </c>
      <c r="K62" s="12">
        <v>0.0</v>
      </c>
      <c r="L62" s="12">
        <v>0.0</v>
      </c>
    </row>
    <row r="63">
      <c r="A63" s="10">
        <v>26.0</v>
      </c>
      <c r="B63" s="11" t="s">
        <v>44</v>
      </c>
      <c r="C63" s="12">
        <f t="shared" si="3"/>
        <v>0</v>
      </c>
      <c r="D63" s="13"/>
      <c r="E63" s="12">
        <v>0.0</v>
      </c>
      <c r="F63" s="12">
        <v>0.0</v>
      </c>
      <c r="G63" s="12">
        <v>0.0</v>
      </c>
      <c r="H63" s="12">
        <v>0.0</v>
      </c>
      <c r="I63" s="12">
        <v>0.0</v>
      </c>
      <c r="J63" s="12">
        <v>0.0</v>
      </c>
      <c r="K63" s="12">
        <v>0.0</v>
      </c>
      <c r="L63" s="12">
        <v>0.0</v>
      </c>
    </row>
    <row r="64">
      <c r="A64" s="10">
        <v>27.0</v>
      </c>
      <c r="B64" s="11" t="s">
        <v>45</v>
      </c>
      <c r="C64" s="12">
        <f t="shared" si="3"/>
        <v>0</v>
      </c>
      <c r="D64" s="13"/>
      <c r="E64" s="12">
        <v>0.0</v>
      </c>
      <c r="F64" s="12">
        <v>0.0</v>
      </c>
      <c r="G64" s="12">
        <v>0.0</v>
      </c>
      <c r="H64" s="12">
        <v>0.0</v>
      </c>
      <c r="I64" s="12">
        <v>0.0</v>
      </c>
      <c r="J64" s="12">
        <v>0.0</v>
      </c>
      <c r="K64" s="12">
        <v>0.0</v>
      </c>
      <c r="L64" s="12">
        <v>0.0</v>
      </c>
    </row>
    <row r="65">
      <c r="A65" s="27">
        <v>28.0</v>
      </c>
      <c r="B65" s="17" t="s">
        <v>46</v>
      </c>
      <c r="C65" s="7">
        <f t="shared" si="3"/>
        <v>231</v>
      </c>
      <c r="D65" s="13"/>
      <c r="E65" s="7">
        <v>0.0</v>
      </c>
      <c r="F65" s="7">
        <v>231.0</v>
      </c>
      <c r="G65" s="7">
        <v>0.0</v>
      </c>
      <c r="H65" s="7">
        <v>0.0</v>
      </c>
      <c r="I65" s="7">
        <v>0.0</v>
      </c>
      <c r="J65" s="7">
        <v>0.0</v>
      </c>
      <c r="K65" s="7">
        <v>0.0</v>
      </c>
      <c r="L65" s="7">
        <v>0.0</v>
      </c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>
      <c r="A66" s="10">
        <v>29.0</v>
      </c>
      <c r="B66" s="11" t="s">
        <v>15</v>
      </c>
      <c r="C66" s="12">
        <f t="shared" si="3"/>
        <v>0</v>
      </c>
      <c r="D66" s="13"/>
      <c r="E66" s="12">
        <v>0.0</v>
      </c>
      <c r="F66" s="12">
        <v>0.0</v>
      </c>
      <c r="G66" s="12">
        <v>0.0</v>
      </c>
      <c r="H66" s="12">
        <v>0.0</v>
      </c>
      <c r="I66" s="12">
        <v>0.0</v>
      </c>
      <c r="J66" s="12">
        <v>0.0</v>
      </c>
      <c r="K66" s="12">
        <v>0.0</v>
      </c>
      <c r="L66" s="12">
        <v>0.0</v>
      </c>
    </row>
    <row r="67">
      <c r="A67" s="10">
        <v>30.0</v>
      </c>
      <c r="B67" s="11" t="s">
        <v>47</v>
      </c>
      <c r="C67" s="12">
        <f t="shared" si="3"/>
        <v>0</v>
      </c>
      <c r="D67" s="18"/>
      <c r="E67" s="12">
        <v>0.0</v>
      </c>
      <c r="F67" s="12">
        <v>0.0</v>
      </c>
      <c r="G67" s="12">
        <v>0.0</v>
      </c>
      <c r="H67" s="12">
        <v>0.0</v>
      </c>
      <c r="I67" s="12">
        <v>0.0</v>
      </c>
      <c r="J67" s="12">
        <v>0.0</v>
      </c>
      <c r="K67" s="12">
        <v>0.0</v>
      </c>
      <c r="L67" s="12">
        <v>0.0</v>
      </c>
    </row>
    <row r="68">
      <c r="A68" s="30" t="s">
        <v>52</v>
      </c>
      <c r="B68" s="3"/>
      <c r="C68" s="20">
        <f>SUM(C38:C67)</f>
        <v>2730</v>
      </c>
      <c r="D68" s="21"/>
      <c r="E68" s="20">
        <f t="shared" ref="E68:L68" si="4">SUM(E38:E67)</f>
        <v>618</v>
      </c>
      <c r="F68" s="20">
        <f t="shared" si="4"/>
        <v>657</v>
      </c>
      <c r="G68" s="20">
        <f t="shared" si="4"/>
        <v>1293</v>
      </c>
      <c r="H68" s="20">
        <f t="shared" si="4"/>
        <v>0</v>
      </c>
      <c r="I68" s="20">
        <f t="shared" si="4"/>
        <v>162</v>
      </c>
      <c r="J68" s="20">
        <f t="shared" si="4"/>
        <v>0</v>
      </c>
      <c r="K68" s="20">
        <f t="shared" si="4"/>
        <v>0</v>
      </c>
      <c r="L68" s="20">
        <f t="shared" si="4"/>
        <v>0</v>
      </c>
    </row>
    <row r="69">
      <c r="A69" s="31" t="s">
        <v>53</v>
      </c>
      <c r="B69" s="2"/>
      <c r="C69" s="2"/>
      <c r="D69" s="32"/>
      <c r="E69" s="33">
        <f>C34+C68</f>
        <v>8805</v>
      </c>
      <c r="F69" s="34"/>
      <c r="G69" s="2"/>
      <c r="H69" s="2"/>
      <c r="I69" s="2"/>
      <c r="J69" s="2"/>
      <c r="K69" s="2"/>
      <c r="L69" s="3"/>
    </row>
    <row r="70">
      <c r="A70" s="23"/>
      <c r="B70" s="2"/>
      <c r="C70" s="2"/>
      <c r="D70" s="2"/>
      <c r="E70" s="2"/>
      <c r="F70" s="2"/>
      <c r="G70" s="2"/>
      <c r="H70" s="2"/>
      <c r="I70" s="2"/>
      <c r="J70" s="2"/>
      <c r="K70" s="2"/>
      <c r="L70" s="3"/>
    </row>
    <row r="71">
      <c r="A71" s="35" t="s">
        <v>54</v>
      </c>
      <c r="B71" s="2"/>
      <c r="C71" s="3"/>
      <c r="D71" s="36"/>
      <c r="E71" s="6" t="s">
        <v>55</v>
      </c>
      <c r="F71" s="2"/>
      <c r="G71" s="2"/>
      <c r="H71" s="2"/>
      <c r="I71" s="2"/>
      <c r="J71" s="2"/>
      <c r="K71" s="2"/>
      <c r="L71" s="3"/>
    </row>
    <row r="72">
      <c r="A72" s="7" t="s">
        <v>5</v>
      </c>
      <c r="B72" s="7" t="s">
        <v>56</v>
      </c>
      <c r="C72" s="7" t="s">
        <v>7</v>
      </c>
      <c r="D72" s="8"/>
      <c r="E72" s="9" t="s">
        <v>8</v>
      </c>
      <c r="F72" s="9" t="s">
        <v>9</v>
      </c>
      <c r="G72" s="9" t="s">
        <v>10</v>
      </c>
      <c r="H72" s="9" t="s">
        <v>11</v>
      </c>
      <c r="I72" s="9" t="s">
        <v>12</v>
      </c>
      <c r="J72" s="9" t="s">
        <v>13</v>
      </c>
      <c r="K72" s="9" t="s">
        <v>14</v>
      </c>
      <c r="L72" s="9" t="s">
        <v>15</v>
      </c>
    </row>
    <row r="73">
      <c r="A73" s="27">
        <v>1.0</v>
      </c>
      <c r="B73" s="17" t="s">
        <v>16</v>
      </c>
      <c r="C73" s="7">
        <f t="shared" ref="C73:C102" si="5">E73+F73+G73+H73+I73+J73+K73+L73</f>
        <v>16</v>
      </c>
      <c r="D73" s="13"/>
      <c r="E73" s="7">
        <v>0.0</v>
      </c>
      <c r="F73" s="7">
        <v>4.0</v>
      </c>
      <c r="G73" s="7">
        <v>0.0</v>
      </c>
      <c r="H73" s="7">
        <v>0.0</v>
      </c>
      <c r="I73" s="7">
        <v>12.0</v>
      </c>
      <c r="J73" s="7">
        <v>0.0</v>
      </c>
      <c r="K73" s="7">
        <v>0.0</v>
      </c>
      <c r="L73" s="7">
        <v>0.0</v>
      </c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>
      <c r="A74" s="10">
        <v>2.0</v>
      </c>
      <c r="B74" s="17" t="s">
        <v>17</v>
      </c>
      <c r="C74" s="7">
        <f t="shared" si="5"/>
        <v>1</v>
      </c>
      <c r="D74" s="13"/>
      <c r="E74" s="12">
        <v>0.0</v>
      </c>
      <c r="F74" s="12">
        <v>0.0</v>
      </c>
      <c r="G74" s="7">
        <v>1.0</v>
      </c>
      <c r="H74" s="12">
        <v>0.0</v>
      </c>
      <c r="I74" s="12">
        <v>0.0</v>
      </c>
      <c r="J74" s="12">
        <v>0.0</v>
      </c>
      <c r="K74" s="12">
        <v>0.0</v>
      </c>
      <c r="L74" s="12">
        <v>0.0</v>
      </c>
    </row>
    <row r="75">
      <c r="A75" s="10">
        <v>3.0</v>
      </c>
      <c r="B75" s="11" t="s">
        <v>18</v>
      </c>
      <c r="C75" s="12">
        <f t="shared" si="5"/>
        <v>0</v>
      </c>
      <c r="D75" s="13"/>
      <c r="E75" s="12">
        <v>0.0</v>
      </c>
      <c r="F75" s="12">
        <v>0.0</v>
      </c>
      <c r="G75" s="12">
        <v>0.0</v>
      </c>
      <c r="H75" s="12">
        <v>0.0</v>
      </c>
      <c r="I75" s="12">
        <v>0.0</v>
      </c>
      <c r="J75" s="12">
        <v>0.0</v>
      </c>
      <c r="K75" s="12">
        <v>0.0</v>
      </c>
      <c r="L75" s="12">
        <v>0.0</v>
      </c>
    </row>
    <row r="76">
      <c r="A76" s="10">
        <v>4.0</v>
      </c>
      <c r="B76" s="17" t="s">
        <v>19</v>
      </c>
      <c r="C76" s="7">
        <f t="shared" si="5"/>
        <v>1</v>
      </c>
      <c r="D76" s="13"/>
      <c r="E76" s="12">
        <v>0.0</v>
      </c>
      <c r="F76" s="12">
        <v>0.0</v>
      </c>
      <c r="G76" s="7">
        <v>1.0</v>
      </c>
      <c r="H76" s="12">
        <v>0.0</v>
      </c>
      <c r="I76" s="12">
        <v>0.0</v>
      </c>
      <c r="J76" s="12">
        <v>0.0</v>
      </c>
      <c r="K76" s="12">
        <v>0.0</v>
      </c>
      <c r="L76" s="12">
        <v>0.0</v>
      </c>
    </row>
    <row r="77">
      <c r="A77" s="27">
        <v>5.0</v>
      </c>
      <c r="B77" s="17" t="s">
        <v>20</v>
      </c>
      <c r="C77" s="7">
        <f t="shared" si="5"/>
        <v>45</v>
      </c>
      <c r="D77" s="13"/>
      <c r="E77" s="7">
        <v>44.0</v>
      </c>
      <c r="F77" s="7">
        <v>0.0</v>
      </c>
      <c r="G77" s="7">
        <v>0.0</v>
      </c>
      <c r="H77" s="7">
        <v>0.0</v>
      </c>
      <c r="I77" s="7">
        <v>1.0</v>
      </c>
      <c r="J77" s="7">
        <v>0.0</v>
      </c>
      <c r="K77" s="7">
        <v>0.0</v>
      </c>
      <c r="L77" s="7">
        <v>0.0</v>
      </c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>
      <c r="A78" s="27">
        <v>6.0</v>
      </c>
      <c r="B78" s="29" t="s">
        <v>21</v>
      </c>
      <c r="C78" s="7">
        <f t="shared" si="5"/>
        <v>9</v>
      </c>
      <c r="D78" s="13"/>
      <c r="E78" s="7">
        <v>0.0</v>
      </c>
      <c r="F78" s="7">
        <v>0.0</v>
      </c>
      <c r="G78" s="7">
        <v>9.0</v>
      </c>
      <c r="H78" s="7">
        <v>0.0</v>
      </c>
      <c r="I78" s="7">
        <v>0.0</v>
      </c>
      <c r="J78" s="7">
        <v>0.0</v>
      </c>
      <c r="K78" s="7">
        <v>0.0</v>
      </c>
      <c r="L78" s="7">
        <v>0.0</v>
      </c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>
      <c r="A79" s="10">
        <v>7.0</v>
      </c>
      <c r="B79" s="11" t="s">
        <v>23</v>
      </c>
      <c r="C79" s="12">
        <f t="shared" si="5"/>
        <v>0</v>
      </c>
      <c r="D79" s="13"/>
      <c r="E79" s="12">
        <v>0.0</v>
      </c>
      <c r="F79" s="12">
        <v>0.0</v>
      </c>
      <c r="G79" s="12">
        <v>0.0</v>
      </c>
      <c r="H79" s="12">
        <v>0.0</v>
      </c>
      <c r="I79" s="12">
        <v>0.0</v>
      </c>
      <c r="J79" s="12">
        <v>0.0</v>
      </c>
      <c r="K79" s="12">
        <v>0.0</v>
      </c>
      <c r="L79" s="12">
        <v>0.0</v>
      </c>
    </row>
    <row r="80">
      <c r="A80" s="10">
        <v>8.0</v>
      </c>
      <c r="B80" s="11" t="s">
        <v>25</v>
      </c>
      <c r="C80" s="12">
        <f t="shared" si="5"/>
        <v>0</v>
      </c>
      <c r="D80" s="13"/>
      <c r="E80" s="12">
        <v>0.0</v>
      </c>
      <c r="F80" s="12">
        <v>0.0</v>
      </c>
      <c r="G80" s="12">
        <v>0.0</v>
      </c>
      <c r="H80" s="12">
        <v>0.0</v>
      </c>
      <c r="I80" s="12">
        <v>0.0</v>
      </c>
      <c r="J80" s="12">
        <v>0.0</v>
      </c>
      <c r="K80" s="12">
        <v>0.0</v>
      </c>
      <c r="L80" s="12">
        <v>0.0</v>
      </c>
    </row>
    <row r="81">
      <c r="A81" s="10">
        <v>9.0</v>
      </c>
      <c r="B81" s="17" t="s">
        <v>26</v>
      </c>
      <c r="C81" s="7">
        <f t="shared" si="5"/>
        <v>2</v>
      </c>
      <c r="D81" s="13"/>
      <c r="E81" s="12">
        <v>0.0</v>
      </c>
      <c r="F81" s="7">
        <v>2.0</v>
      </c>
      <c r="G81" s="12">
        <v>0.0</v>
      </c>
      <c r="H81" s="12">
        <v>0.0</v>
      </c>
      <c r="I81" s="12">
        <v>0.0</v>
      </c>
      <c r="J81" s="12">
        <v>0.0</v>
      </c>
      <c r="K81" s="12">
        <v>0.0</v>
      </c>
      <c r="L81" s="12">
        <v>0.0</v>
      </c>
    </row>
    <row r="82">
      <c r="A82" s="10">
        <v>10.0</v>
      </c>
      <c r="B82" s="29" t="s">
        <v>27</v>
      </c>
      <c r="C82" s="7">
        <f t="shared" si="5"/>
        <v>1</v>
      </c>
      <c r="D82" s="13"/>
      <c r="E82" s="12">
        <v>0.0</v>
      </c>
      <c r="F82" s="12">
        <v>0.0</v>
      </c>
      <c r="G82" s="7">
        <v>1.0</v>
      </c>
      <c r="H82" s="12">
        <v>0.0</v>
      </c>
      <c r="I82" s="12">
        <v>0.0</v>
      </c>
      <c r="J82" s="12">
        <v>0.0</v>
      </c>
      <c r="K82" s="12">
        <v>0.0</v>
      </c>
      <c r="L82" s="12">
        <v>0.0</v>
      </c>
    </row>
    <row r="83">
      <c r="A83" s="10">
        <v>11.0</v>
      </c>
      <c r="B83" s="17" t="s">
        <v>28</v>
      </c>
      <c r="C83" s="7">
        <f t="shared" si="5"/>
        <v>7</v>
      </c>
      <c r="D83" s="13"/>
      <c r="E83" s="12">
        <v>0.0</v>
      </c>
      <c r="F83" s="12">
        <v>0.0</v>
      </c>
      <c r="G83" s="7">
        <v>7.0</v>
      </c>
      <c r="H83" s="12">
        <v>0.0</v>
      </c>
      <c r="I83" s="12">
        <v>0.0</v>
      </c>
      <c r="J83" s="12">
        <v>0.0</v>
      </c>
      <c r="K83" s="12">
        <v>0.0</v>
      </c>
      <c r="L83" s="12">
        <v>0.0</v>
      </c>
    </row>
    <row r="84">
      <c r="A84" s="27">
        <v>12.0</v>
      </c>
      <c r="B84" s="17" t="s">
        <v>29</v>
      </c>
      <c r="C84" s="7">
        <f t="shared" si="5"/>
        <v>24</v>
      </c>
      <c r="D84" s="13"/>
      <c r="E84" s="7">
        <v>0.0</v>
      </c>
      <c r="F84" s="7">
        <v>24.0</v>
      </c>
      <c r="G84" s="7">
        <v>0.0</v>
      </c>
      <c r="H84" s="7">
        <v>0.0</v>
      </c>
      <c r="I84" s="7">
        <v>0.0</v>
      </c>
      <c r="J84" s="7">
        <v>0.0</v>
      </c>
      <c r="K84" s="7">
        <v>0.0</v>
      </c>
      <c r="L84" s="7">
        <v>0.0</v>
      </c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>
      <c r="A85" s="27">
        <v>13.0</v>
      </c>
      <c r="B85" s="17" t="s">
        <v>30</v>
      </c>
      <c r="C85" s="7">
        <f t="shared" si="5"/>
        <v>53</v>
      </c>
      <c r="D85" s="13"/>
      <c r="E85" s="7">
        <v>0.0</v>
      </c>
      <c r="F85" s="7">
        <v>0.0</v>
      </c>
      <c r="G85" s="7">
        <v>53.0</v>
      </c>
      <c r="H85" s="7">
        <v>0.0</v>
      </c>
      <c r="I85" s="7">
        <v>0.0</v>
      </c>
      <c r="J85" s="7">
        <v>0.0</v>
      </c>
      <c r="K85" s="7">
        <v>0.0</v>
      </c>
      <c r="L85" s="7">
        <v>0.0</v>
      </c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>
      <c r="A86" s="10">
        <v>14.0</v>
      </c>
      <c r="B86" s="17" t="s">
        <v>31</v>
      </c>
      <c r="C86" s="7">
        <f t="shared" si="5"/>
        <v>2</v>
      </c>
      <c r="D86" s="13"/>
      <c r="E86" s="12">
        <v>0.0</v>
      </c>
      <c r="F86" s="12">
        <v>0.0</v>
      </c>
      <c r="G86" s="7">
        <v>2.0</v>
      </c>
      <c r="H86" s="12">
        <v>0.0</v>
      </c>
      <c r="I86" s="12">
        <v>0.0</v>
      </c>
      <c r="J86" s="12">
        <v>0.0</v>
      </c>
      <c r="K86" s="12">
        <v>0.0</v>
      </c>
      <c r="L86" s="12">
        <v>0.0</v>
      </c>
    </row>
    <row r="87">
      <c r="A87" s="10">
        <v>15.0</v>
      </c>
      <c r="B87" s="17" t="s">
        <v>32</v>
      </c>
      <c r="C87" s="7">
        <f t="shared" si="5"/>
        <v>1</v>
      </c>
      <c r="D87" s="13"/>
      <c r="E87" s="12">
        <v>0.0</v>
      </c>
      <c r="F87" s="12">
        <v>0.0</v>
      </c>
      <c r="G87" s="12">
        <v>1.0</v>
      </c>
      <c r="H87" s="12">
        <v>0.0</v>
      </c>
      <c r="I87" s="12">
        <v>0.0</v>
      </c>
      <c r="J87" s="12">
        <v>0.0</v>
      </c>
      <c r="K87" s="12">
        <v>0.0</v>
      </c>
      <c r="L87" s="12">
        <v>0.0</v>
      </c>
    </row>
    <row r="88">
      <c r="A88" s="10">
        <v>16.0</v>
      </c>
      <c r="B88" s="14" t="s">
        <v>33</v>
      </c>
      <c r="C88" s="12">
        <f t="shared" si="5"/>
        <v>0</v>
      </c>
      <c r="D88" s="13"/>
      <c r="E88" s="12">
        <v>0.0</v>
      </c>
      <c r="F88" s="12">
        <v>0.0</v>
      </c>
      <c r="G88" s="12">
        <v>0.0</v>
      </c>
      <c r="H88" s="12">
        <v>0.0</v>
      </c>
      <c r="I88" s="12">
        <v>0.0</v>
      </c>
      <c r="J88" s="12">
        <v>0.0</v>
      </c>
      <c r="K88" s="12">
        <v>0.0</v>
      </c>
      <c r="L88" s="12">
        <v>0.0</v>
      </c>
    </row>
    <row r="89">
      <c r="A89" s="27">
        <v>17.0</v>
      </c>
      <c r="B89" s="29" t="s">
        <v>34</v>
      </c>
      <c r="C89" s="7">
        <f t="shared" si="5"/>
        <v>27</v>
      </c>
      <c r="D89" s="13"/>
      <c r="E89" s="7">
        <v>0.0</v>
      </c>
      <c r="F89" s="7">
        <v>27.0</v>
      </c>
      <c r="G89" s="7">
        <v>0.0</v>
      </c>
      <c r="H89" s="7">
        <v>0.0</v>
      </c>
      <c r="I89" s="7">
        <v>0.0</v>
      </c>
      <c r="J89" s="7">
        <v>0.0</v>
      </c>
      <c r="K89" s="7">
        <v>0.0</v>
      </c>
      <c r="L89" s="7">
        <v>0.0</v>
      </c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>
      <c r="A90" s="10">
        <v>18.0</v>
      </c>
      <c r="B90" s="14" t="s">
        <v>35</v>
      </c>
      <c r="C90" s="12">
        <f t="shared" si="5"/>
        <v>0</v>
      </c>
      <c r="D90" s="13"/>
      <c r="E90" s="12">
        <v>0.0</v>
      </c>
      <c r="F90" s="12">
        <v>0.0</v>
      </c>
      <c r="G90" s="12">
        <v>0.0</v>
      </c>
      <c r="H90" s="12">
        <v>0.0</v>
      </c>
      <c r="I90" s="12">
        <v>0.0</v>
      </c>
      <c r="J90" s="12">
        <v>0.0</v>
      </c>
      <c r="K90" s="12">
        <v>0.0</v>
      </c>
      <c r="L90" s="12">
        <v>0.0</v>
      </c>
    </row>
    <row r="91">
      <c r="A91" s="37">
        <v>19.0</v>
      </c>
      <c r="B91" s="17" t="s">
        <v>36</v>
      </c>
      <c r="C91" s="7">
        <f t="shared" si="5"/>
        <v>41</v>
      </c>
      <c r="D91" s="13"/>
      <c r="E91" s="7">
        <v>0.0</v>
      </c>
      <c r="F91" s="7">
        <v>0.0</v>
      </c>
      <c r="G91" s="7">
        <v>41.0</v>
      </c>
      <c r="H91" s="7">
        <v>0.0</v>
      </c>
      <c r="I91" s="7">
        <v>0.0</v>
      </c>
      <c r="J91" s="7">
        <v>0.0</v>
      </c>
      <c r="K91" s="7">
        <v>0.0</v>
      </c>
      <c r="L91" s="7">
        <v>0.0</v>
      </c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>
      <c r="A92" s="16">
        <v>20.0</v>
      </c>
      <c r="B92" s="14" t="s">
        <v>37</v>
      </c>
      <c r="C92" s="12">
        <f t="shared" si="5"/>
        <v>2</v>
      </c>
      <c r="D92" s="13"/>
      <c r="E92" s="12">
        <v>1.0</v>
      </c>
      <c r="F92" s="12">
        <v>1.0</v>
      </c>
      <c r="G92" s="12">
        <v>0.0</v>
      </c>
      <c r="H92" s="12">
        <v>0.0</v>
      </c>
      <c r="I92" s="12">
        <v>0.0</v>
      </c>
      <c r="J92" s="12">
        <v>0.0</v>
      </c>
      <c r="K92" s="12">
        <v>0.0</v>
      </c>
      <c r="L92" s="12">
        <v>0.0</v>
      </c>
    </row>
    <row r="93">
      <c r="A93" s="10">
        <v>21.0</v>
      </c>
      <c r="B93" s="11" t="s">
        <v>38</v>
      </c>
      <c r="C93" s="12">
        <f t="shared" si="5"/>
        <v>0</v>
      </c>
      <c r="D93" s="13"/>
      <c r="E93" s="12">
        <v>0.0</v>
      </c>
      <c r="F93" s="12">
        <v>0.0</v>
      </c>
      <c r="G93" s="12">
        <v>0.0</v>
      </c>
      <c r="H93" s="12">
        <v>0.0</v>
      </c>
      <c r="I93" s="12">
        <v>0.0</v>
      </c>
      <c r="J93" s="12">
        <v>0.0</v>
      </c>
      <c r="K93" s="12">
        <v>0.0</v>
      </c>
      <c r="L93" s="12">
        <v>0.0</v>
      </c>
    </row>
    <row r="94">
      <c r="A94" s="10">
        <v>22.0</v>
      </c>
      <c r="B94" s="11" t="s">
        <v>39</v>
      </c>
      <c r="C94" s="12">
        <f t="shared" si="5"/>
        <v>0</v>
      </c>
      <c r="D94" s="13"/>
      <c r="E94" s="12">
        <v>0.0</v>
      </c>
      <c r="F94" s="12">
        <v>0.0</v>
      </c>
      <c r="G94" s="12">
        <v>0.0</v>
      </c>
      <c r="H94" s="12">
        <v>0.0</v>
      </c>
      <c r="I94" s="12">
        <v>0.0</v>
      </c>
      <c r="J94" s="12">
        <v>0.0</v>
      </c>
      <c r="K94" s="12">
        <v>0.0</v>
      </c>
      <c r="L94" s="12">
        <v>0.0</v>
      </c>
    </row>
    <row r="95">
      <c r="A95" s="27">
        <v>23.0</v>
      </c>
      <c r="B95" s="29" t="s">
        <v>40</v>
      </c>
      <c r="C95" s="7">
        <f t="shared" si="5"/>
        <v>19</v>
      </c>
      <c r="D95" s="13"/>
      <c r="E95" s="7">
        <v>17.0</v>
      </c>
      <c r="F95" s="7">
        <v>2.0</v>
      </c>
      <c r="G95" s="7">
        <v>0.0</v>
      </c>
      <c r="H95" s="7">
        <v>0.0</v>
      </c>
      <c r="I95" s="7">
        <v>0.0</v>
      </c>
      <c r="J95" s="7">
        <v>0.0</v>
      </c>
      <c r="K95" s="7">
        <v>0.0</v>
      </c>
      <c r="L95" s="7">
        <v>0.0</v>
      </c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>
      <c r="A96" s="27">
        <v>24.0</v>
      </c>
      <c r="B96" s="29" t="s">
        <v>58</v>
      </c>
      <c r="C96" s="7">
        <f t="shared" si="5"/>
        <v>5</v>
      </c>
      <c r="D96" s="13"/>
      <c r="E96" s="7">
        <v>0.0</v>
      </c>
      <c r="F96" s="7">
        <v>0.0</v>
      </c>
      <c r="G96" s="7">
        <v>5.0</v>
      </c>
      <c r="H96" s="7">
        <v>0.0</v>
      </c>
      <c r="I96" s="7">
        <v>0.0</v>
      </c>
      <c r="J96" s="7">
        <v>0.0</v>
      </c>
      <c r="K96" s="7">
        <v>0.0</v>
      </c>
      <c r="L96" s="7">
        <v>0.0</v>
      </c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>
      <c r="A97" s="10">
        <v>25.0</v>
      </c>
      <c r="B97" s="14" t="s">
        <v>43</v>
      </c>
      <c r="C97" s="12">
        <f t="shared" si="5"/>
        <v>0</v>
      </c>
      <c r="D97" s="13"/>
      <c r="E97" s="12">
        <v>0.0</v>
      </c>
      <c r="F97" s="12">
        <v>0.0</v>
      </c>
      <c r="G97" s="12">
        <v>0.0</v>
      </c>
      <c r="H97" s="12">
        <v>0.0</v>
      </c>
      <c r="I97" s="12">
        <v>0.0</v>
      </c>
      <c r="J97" s="12">
        <v>0.0</v>
      </c>
      <c r="K97" s="12">
        <v>0.0</v>
      </c>
      <c r="L97" s="12">
        <v>0.0</v>
      </c>
    </row>
    <row r="98">
      <c r="A98" s="27">
        <v>26.0</v>
      </c>
      <c r="B98" s="17" t="s">
        <v>44</v>
      </c>
      <c r="C98" s="7">
        <f t="shared" si="5"/>
        <v>0</v>
      </c>
      <c r="D98" s="13"/>
      <c r="E98" s="7">
        <v>0.0</v>
      </c>
      <c r="F98" s="7">
        <v>0.0</v>
      </c>
      <c r="G98" s="7">
        <v>0.0</v>
      </c>
      <c r="H98" s="7">
        <v>0.0</v>
      </c>
      <c r="I98" s="7">
        <v>0.0</v>
      </c>
      <c r="J98" s="7">
        <v>0.0</v>
      </c>
      <c r="K98" s="7">
        <v>0.0</v>
      </c>
      <c r="L98" s="7">
        <v>0.0</v>
      </c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>
      <c r="A99" s="10">
        <v>27.0</v>
      </c>
      <c r="B99" s="11" t="s">
        <v>45</v>
      </c>
      <c r="C99" s="12">
        <f t="shared" si="5"/>
        <v>0</v>
      </c>
      <c r="D99" s="13"/>
      <c r="E99" s="12">
        <v>0.0</v>
      </c>
      <c r="F99" s="12">
        <v>0.0</v>
      </c>
      <c r="G99" s="12">
        <v>0.0</v>
      </c>
      <c r="H99" s="12">
        <v>0.0</v>
      </c>
      <c r="I99" s="12">
        <v>0.0</v>
      </c>
      <c r="J99" s="12">
        <v>0.0</v>
      </c>
      <c r="K99" s="12">
        <v>0.0</v>
      </c>
      <c r="L99" s="12">
        <v>0.0</v>
      </c>
    </row>
    <row r="100">
      <c r="A100" s="10">
        <v>28.0</v>
      </c>
      <c r="B100" s="17" t="s">
        <v>46</v>
      </c>
      <c r="C100" s="12">
        <f t="shared" si="5"/>
        <v>0</v>
      </c>
      <c r="D100" s="13"/>
      <c r="E100" s="12">
        <v>0.0</v>
      </c>
      <c r="F100" s="12">
        <v>0.0</v>
      </c>
      <c r="G100" s="12">
        <v>0.0</v>
      </c>
      <c r="H100" s="12">
        <v>0.0</v>
      </c>
      <c r="I100" s="12">
        <v>0.0</v>
      </c>
      <c r="J100" s="12">
        <v>0.0</v>
      </c>
      <c r="K100" s="12">
        <v>0.0</v>
      </c>
      <c r="L100" s="12">
        <v>0.0</v>
      </c>
    </row>
    <row r="101">
      <c r="A101" s="10">
        <v>29.0</v>
      </c>
      <c r="B101" s="11" t="s">
        <v>15</v>
      </c>
      <c r="C101" s="12">
        <f t="shared" si="5"/>
        <v>0</v>
      </c>
      <c r="D101" s="13"/>
      <c r="E101" s="12">
        <v>0.0</v>
      </c>
      <c r="F101" s="12">
        <v>0.0</v>
      </c>
      <c r="G101" s="12">
        <v>0.0</v>
      </c>
      <c r="H101" s="12">
        <v>0.0</v>
      </c>
      <c r="I101" s="12">
        <v>0.0</v>
      </c>
      <c r="J101" s="12">
        <v>0.0</v>
      </c>
      <c r="K101" s="12">
        <v>0.0</v>
      </c>
      <c r="L101" s="12">
        <v>0.0</v>
      </c>
    </row>
    <row r="102">
      <c r="A102" s="10">
        <v>30.0</v>
      </c>
      <c r="B102" s="11" t="s">
        <v>47</v>
      </c>
      <c r="C102" s="12">
        <f t="shared" si="5"/>
        <v>0</v>
      </c>
      <c r="D102" s="18"/>
      <c r="E102" s="12">
        <v>0.0</v>
      </c>
      <c r="F102" s="12">
        <v>0.0</v>
      </c>
      <c r="G102" s="12">
        <v>0.0</v>
      </c>
      <c r="H102" s="12">
        <v>0.0</v>
      </c>
      <c r="I102" s="12">
        <v>0.0</v>
      </c>
      <c r="J102" s="12">
        <v>0.0</v>
      </c>
      <c r="K102" s="12">
        <v>0.0</v>
      </c>
      <c r="L102" s="12">
        <v>0.0</v>
      </c>
    </row>
    <row r="103">
      <c r="A103" s="19" t="s">
        <v>59</v>
      </c>
      <c r="B103" s="3"/>
      <c r="C103" s="20">
        <f>SUM(C73:C102)</f>
        <v>256</v>
      </c>
      <c r="D103" s="38"/>
      <c r="E103" s="20">
        <f t="shared" ref="E103:L103" si="6">SUM(E73:E102)</f>
        <v>62</v>
      </c>
      <c r="F103" s="20">
        <f t="shared" si="6"/>
        <v>60</v>
      </c>
      <c r="G103" s="20">
        <f t="shared" si="6"/>
        <v>121</v>
      </c>
      <c r="H103" s="20">
        <f t="shared" si="6"/>
        <v>0</v>
      </c>
      <c r="I103" s="20">
        <f t="shared" si="6"/>
        <v>13</v>
      </c>
      <c r="J103" s="20">
        <f t="shared" si="6"/>
        <v>0</v>
      </c>
      <c r="K103" s="20">
        <f t="shared" si="6"/>
        <v>0</v>
      </c>
      <c r="L103" s="20">
        <f t="shared" si="6"/>
        <v>0</v>
      </c>
    </row>
    <row r="104">
      <c r="A104" s="2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3"/>
    </row>
    <row r="105">
      <c r="A105" s="39" t="s">
        <v>60</v>
      </c>
      <c r="B105" s="2"/>
      <c r="C105" s="3"/>
      <c r="D105" s="40"/>
      <c r="E105" s="26" t="s">
        <v>61</v>
      </c>
      <c r="F105" s="2"/>
      <c r="G105" s="2"/>
      <c r="H105" s="2"/>
      <c r="I105" s="2"/>
      <c r="J105" s="2"/>
      <c r="K105" s="2"/>
      <c r="L105" s="3"/>
    </row>
    <row r="106">
      <c r="A106" s="7" t="s">
        <v>5</v>
      </c>
      <c r="B106" s="7" t="s">
        <v>62</v>
      </c>
      <c r="C106" s="7" t="s">
        <v>7</v>
      </c>
      <c r="D106" s="8"/>
      <c r="E106" s="9" t="s">
        <v>8</v>
      </c>
      <c r="F106" s="9" t="s">
        <v>9</v>
      </c>
      <c r="G106" s="9" t="s">
        <v>10</v>
      </c>
      <c r="H106" s="9" t="s">
        <v>11</v>
      </c>
      <c r="I106" s="9" t="s">
        <v>12</v>
      </c>
      <c r="J106" s="9" t="s">
        <v>13</v>
      </c>
      <c r="K106" s="9" t="s">
        <v>14</v>
      </c>
      <c r="L106" s="9" t="s">
        <v>15</v>
      </c>
    </row>
    <row r="107">
      <c r="A107" s="27">
        <v>1.0</v>
      </c>
      <c r="B107" s="17" t="s">
        <v>16</v>
      </c>
      <c r="C107" s="7">
        <f t="shared" ref="C107:C136" si="7">E107+F107+G107+H107+I107+J107+K107+L107</f>
        <v>90</v>
      </c>
      <c r="D107" s="13"/>
      <c r="E107" s="7">
        <v>0.0</v>
      </c>
      <c r="F107" s="7">
        <v>0.0</v>
      </c>
      <c r="G107" s="7">
        <v>0.0</v>
      </c>
      <c r="H107" s="7">
        <v>0.0</v>
      </c>
      <c r="I107" s="7">
        <v>90.0</v>
      </c>
      <c r="J107" s="7">
        <v>0.0</v>
      </c>
      <c r="K107" s="7">
        <v>0.0</v>
      </c>
      <c r="L107" s="7">
        <v>0.0</v>
      </c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>
      <c r="A108" s="10">
        <v>2.0</v>
      </c>
      <c r="B108" s="11" t="s">
        <v>17</v>
      </c>
      <c r="C108" s="12">
        <f t="shared" si="7"/>
        <v>0</v>
      </c>
      <c r="D108" s="13"/>
      <c r="E108" s="12">
        <v>0.0</v>
      </c>
      <c r="F108" s="12">
        <v>0.0</v>
      </c>
      <c r="G108" s="12">
        <v>0.0</v>
      </c>
      <c r="H108" s="12">
        <v>0.0</v>
      </c>
      <c r="I108" s="12">
        <v>0.0</v>
      </c>
      <c r="J108" s="12">
        <v>0.0</v>
      </c>
      <c r="K108" s="12">
        <v>0.0</v>
      </c>
      <c r="L108" s="12">
        <v>0.0</v>
      </c>
    </row>
    <row r="109">
      <c r="A109" s="10">
        <v>3.0</v>
      </c>
      <c r="B109" s="11" t="s">
        <v>18</v>
      </c>
      <c r="C109" s="12">
        <f t="shared" si="7"/>
        <v>0</v>
      </c>
      <c r="D109" s="13"/>
      <c r="E109" s="12">
        <v>0.0</v>
      </c>
      <c r="F109" s="12">
        <v>0.0</v>
      </c>
      <c r="G109" s="12">
        <v>0.0</v>
      </c>
      <c r="H109" s="12">
        <v>0.0</v>
      </c>
      <c r="I109" s="12">
        <v>0.0</v>
      </c>
      <c r="J109" s="12">
        <v>0.0</v>
      </c>
      <c r="K109" s="12">
        <v>0.0</v>
      </c>
      <c r="L109" s="12">
        <v>0.0</v>
      </c>
    </row>
    <row r="110">
      <c r="A110" s="10">
        <v>4.0</v>
      </c>
      <c r="B110" s="11" t="s">
        <v>19</v>
      </c>
      <c r="C110" s="12">
        <f t="shared" si="7"/>
        <v>0</v>
      </c>
      <c r="D110" s="13"/>
      <c r="E110" s="12">
        <v>0.0</v>
      </c>
      <c r="F110" s="12">
        <v>0.0</v>
      </c>
      <c r="G110" s="12">
        <v>0.0</v>
      </c>
      <c r="H110" s="12">
        <v>0.0</v>
      </c>
      <c r="I110" s="12">
        <v>0.0</v>
      </c>
      <c r="J110" s="12">
        <v>0.0</v>
      </c>
      <c r="K110" s="12">
        <v>0.0</v>
      </c>
      <c r="L110" s="12">
        <v>0.0</v>
      </c>
    </row>
    <row r="111">
      <c r="A111" s="27">
        <v>5.0</v>
      </c>
      <c r="B111" s="17" t="s">
        <v>20</v>
      </c>
      <c r="C111" s="7">
        <f t="shared" si="7"/>
        <v>18</v>
      </c>
      <c r="D111" s="13"/>
      <c r="E111" s="7">
        <v>18.0</v>
      </c>
      <c r="F111" s="7">
        <v>0.0</v>
      </c>
      <c r="G111" s="7">
        <v>0.0</v>
      </c>
      <c r="H111" s="7">
        <v>0.0</v>
      </c>
      <c r="I111" s="7">
        <v>0.0</v>
      </c>
      <c r="J111" s="7">
        <v>0.0</v>
      </c>
      <c r="K111" s="7">
        <v>0.0</v>
      </c>
      <c r="L111" s="7">
        <v>0.0</v>
      </c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>
      <c r="A112" s="10">
        <v>6.0</v>
      </c>
      <c r="B112" s="14" t="s">
        <v>21</v>
      </c>
      <c r="C112" s="12">
        <f t="shared" si="7"/>
        <v>0</v>
      </c>
      <c r="D112" s="13"/>
      <c r="E112" s="12">
        <v>0.0</v>
      </c>
      <c r="F112" s="12">
        <v>0.0</v>
      </c>
      <c r="G112" s="12">
        <v>0.0</v>
      </c>
      <c r="H112" s="12">
        <v>0.0</v>
      </c>
      <c r="I112" s="12">
        <v>0.0</v>
      </c>
      <c r="J112" s="12">
        <v>0.0</v>
      </c>
      <c r="K112" s="12">
        <v>0.0</v>
      </c>
      <c r="L112" s="12">
        <v>0.0</v>
      </c>
    </row>
    <row r="113">
      <c r="A113" s="10">
        <v>7.0</v>
      </c>
      <c r="B113" s="11" t="s">
        <v>23</v>
      </c>
      <c r="C113" s="12">
        <f t="shared" si="7"/>
        <v>0</v>
      </c>
      <c r="D113" s="13"/>
      <c r="E113" s="12">
        <v>0.0</v>
      </c>
      <c r="F113" s="12">
        <v>0.0</v>
      </c>
      <c r="G113" s="12">
        <v>0.0</v>
      </c>
      <c r="H113" s="12">
        <v>0.0</v>
      </c>
      <c r="I113" s="12">
        <v>0.0</v>
      </c>
      <c r="J113" s="12">
        <v>0.0</v>
      </c>
      <c r="K113" s="12">
        <v>0.0</v>
      </c>
      <c r="L113" s="12">
        <v>0.0</v>
      </c>
    </row>
    <row r="114">
      <c r="A114" s="10">
        <v>8.0</v>
      </c>
      <c r="B114" s="11" t="s">
        <v>25</v>
      </c>
      <c r="C114" s="12">
        <f t="shared" si="7"/>
        <v>0</v>
      </c>
      <c r="D114" s="13"/>
      <c r="E114" s="12">
        <v>0.0</v>
      </c>
      <c r="F114" s="12">
        <v>0.0</v>
      </c>
      <c r="G114" s="12">
        <v>0.0</v>
      </c>
      <c r="H114" s="12">
        <v>0.0</v>
      </c>
      <c r="I114" s="12">
        <v>0.0</v>
      </c>
      <c r="J114" s="12">
        <v>0.0</v>
      </c>
      <c r="K114" s="12">
        <v>0.0</v>
      </c>
      <c r="L114" s="12">
        <v>0.0</v>
      </c>
    </row>
    <row r="115">
      <c r="A115" s="10">
        <v>9.0</v>
      </c>
      <c r="B115" s="11" t="s">
        <v>26</v>
      </c>
      <c r="C115" s="12">
        <f t="shared" si="7"/>
        <v>0</v>
      </c>
      <c r="D115" s="13"/>
      <c r="E115" s="12">
        <v>0.0</v>
      </c>
      <c r="F115" s="12">
        <v>0.0</v>
      </c>
      <c r="G115" s="12">
        <v>0.0</v>
      </c>
      <c r="H115" s="12">
        <v>0.0</v>
      </c>
      <c r="I115" s="12">
        <v>0.0</v>
      </c>
      <c r="J115" s="12">
        <v>0.0</v>
      </c>
      <c r="K115" s="12">
        <v>0.0</v>
      </c>
      <c r="L115" s="12">
        <v>0.0</v>
      </c>
    </row>
    <row r="116">
      <c r="A116" s="10">
        <v>10.0</v>
      </c>
      <c r="B116" s="14" t="s">
        <v>27</v>
      </c>
      <c r="C116" s="12">
        <f t="shared" si="7"/>
        <v>0</v>
      </c>
      <c r="D116" s="13"/>
      <c r="E116" s="12">
        <v>0.0</v>
      </c>
      <c r="F116" s="12">
        <v>0.0</v>
      </c>
      <c r="G116" s="12">
        <v>0.0</v>
      </c>
      <c r="H116" s="12">
        <v>0.0</v>
      </c>
      <c r="I116" s="12">
        <v>0.0</v>
      </c>
      <c r="J116" s="12">
        <v>0.0</v>
      </c>
      <c r="K116" s="12">
        <v>0.0</v>
      </c>
      <c r="L116" s="12">
        <v>0.0</v>
      </c>
    </row>
    <row r="117">
      <c r="A117" s="10">
        <v>11.0</v>
      </c>
      <c r="B117" s="11" t="s">
        <v>28</v>
      </c>
      <c r="C117" s="12">
        <f t="shared" si="7"/>
        <v>0</v>
      </c>
      <c r="D117" s="13"/>
      <c r="E117" s="12">
        <v>0.0</v>
      </c>
      <c r="F117" s="12">
        <v>0.0</v>
      </c>
      <c r="G117" s="12">
        <v>0.0</v>
      </c>
      <c r="H117" s="12">
        <v>0.0</v>
      </c>
      <c r="I117" s="12">
        <v>0.0</v>
      </c>
      <c r="J117" s="12">
        <v>0.0</v>
      </c>
      <c r="K117" s="12">
        <v>0.0</v>
      </c>
      <c r="L117" s="12">
        <v>0.0</v>
      </c>
    </row>
    <row r="118">
      <c r="A118" s="10">
        <v>12.0</v>
      </c>
      <c r="B118" s="17" t="s">
        <v>29</v>
      </c>
      <c r="C118" s="12">
        <f t="shared" si="7"/>
        <v>8</v>
      </c>
      <c r="D118" s="13"/>
      <c r="E118" s="12">
        <v>0.0</v>
      </c>
      <c r="F118" s="12">
        <v>8.0</v>
      </c>
      <c r="G118" s="12">
        <v>0.0</v>
      </c>
      <c r="H118" s="12">
        <v>0.0</v>
      </c>
      <c r="I118" s="12">
        <v>0.0</v>
      </c>
      <c r="J118" s="12">
        <v>0.0</v>
      </c>
      <c r="K118" s="12">
        <v>0.0</v>
      </c>
      <c r="L118" s="12">
        <v>0.0</v>
      </c>
    </row>
    <row r="119">
      <c r="A119" s="10">
        <v>13.0</v>
      </c>
      <c r="B119" s="11" t="s">
        <v>30</v>
      </c>
      <c r="C119" s="12">
        <f t="shared" si="7"/>
        <v>0</v>
      </c>
      <c r="D119" s="13"/>
      <c r="E119" s="12">
        <v>0.0</v>
      </c>
      <c r="F119" s="12">
        <v>0.0</v>
      </c>
      <c r="G119" s="12">
        <v>0.0</v>
      </c>
      <c r="H119" s="12">
        <v>0.0</v>
      </c>
      <c r="I119" s="12">
        <v>0.0</v>
      </c>
      <c r="J119" s="12">
        <v>0.0</v>
      </c>
      <c r="K119" s="12">
        <v>0.0</v>
      </c>
      <c r="L119" s="12">
        <v>0.0</v>
      </c>
    </row>
    <row r="120">
      <c r="A120" s="10">
        <v>14.0</v>
      </c>
      <c r="B120" s="11" t="s">
        <v>31</v>
      </c>
      <c r="C120" s="12">
        <f t="shared" si="7"/>
        <v>0</v>
      </c>
      <c r="D120" s="13"/>
      <c r="E120" s="12">
        <v>0.0</v>
      </c>
      <c r="F120" s="12">
        <v>0.0</v>
      </c>
      <c r="G120" s="12">
        <v>0.0</v>
      </c>
      <c r="H120" s="12">
        <v>0.0</v>
      </c>
      <c r="I120" s="12">
        <v>0.0</v>
      </c>
      <c r="J120" s="12">
        <v>0.0</v>
      </c>
      <c r="K120" s="12">
        <v>0.0</v>
      </c>
      <c r="L120" s="12">
        <v>0.0</v>
      </c>
    </row>
    <row r="121">
      <c r="A121" s="10">
        <v>15.0</v>
      </c>
      <c r="B121" s="11" t="s">
        <v>32</v>
      </c>
      <c r="C121" s="12">
        <f t="shared" si="7"/>
        <v>0</v>
      </c>
      <c r="D121" s="13"/>
      <c r="E121" s="12">
        <v>0.0</v>
      </c>
      <c r="F121" s="12">
        <v>0.0</v>
      </c>
      <c r="G121" s="12">
        <v>0.0</v>
      </c>
      <c r="H121" s="12">
        <v>0.0</v>
      </c>
      <c r="I121" s="12">
        <v>0.0</v>
      </c>
      <c r="J121" s="12">
        <v>0.0</v>
      </c>
      <c r="K121" s="12">
        <v>0.0</v>
      </c>
      <c r="L121" s="12">
        <v>0.0</v>
      </c>
    </row>
    <row r="122">
      <c r="A122" s="10">
        <v>16.0</v>
      </c>
      <c r="B122" s="14" t="s">
        <v>33</v>
      </c>
      <c r="C122" s="12">
        <f t="shared" si="7"/>
        <v>0</v>
      </c>
      <c r="D122" s="13"/>
      <c r="E122" s="12">
        <v>0.0</v>
      </c>
      <c r="F122" s="12">
        <v>0.0</v>
      </c>
      <c r="G122" s="12">
        <v>0.0</v>
      </c>
      <c r="H122" s="12">
        <v>0.0</v>
      </c>
      <c r="I122" s="12">
        <v>0.0</v>
      </c>
      <c r="J122" s="12">
        <v>0.0</v>
      </c>
      <c r="K122" s="12">
        <v>0.0</v>
      </c>
      <c r="L122" s="12">
        <v>0.0</v>
      </c>
    </row>
    <row r="123">
      <c r="A123" s="27">
        <v>17.0</v>
      </c>
      <c r="B123" s="29" t="s">
        <v>34</v>
      </c>
      <c r="C123" s="7">
        <f t="shared" si="7"/>
        <v>41</v>
      </c>
      <c r="D123" s="13"/>
      <c r="E123" s="7">
        <v>0.0</v>
      </c>
      <c r="F123" s="7">
        <v>41.0</v>
      </c>
      <c r="G123" s="7">
        <v>0.0</v>
      </c>
      <c r="H123" s="7">
        <v>0.0</v>
      </c>
      <c r="I123" s="7">
        <v>0.0</v>
      </c>
      <c r="J123" s="7">
        <v>0.0</v>
      </c>
      <c r="K123" s="7">
        <v>0.0</v>
      </c>
      <c r="L123" s="7">
        <v>0.0</v>
      </c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>
      <c r="A124" s="10">
        <v>18.0</v>
      </c>
      <c r="B124" s="14" t="s">
        <v>35</v>
      </c>
      <c r="C124" s="12">
        <f t="shared" si="7"/>
        <v>0</v>
      </c>
      <c r="D124" s="13"/>
      <c r="E124" s="12">
        <v>0.0</v>
      </c>
      <c r="F124" s="12">
        <v>0.0</v>
      </c>
      <c r="G124" s="12">
        <v>0.0</v>
      </c>
      <c r="H124" s="12">
        <v>0.0</v>
      </c>
      <c r="I124" s="12">
        <v>0.0</v>
      </c>
      <c r="J124" s="12">
        <v>0.0</v>
      </c>
      <c r="K124" s="12">
        <v>0.0</v>
      </c>
      <c r="L124" s="12">
        <v>0.0</v>
      </c>
    </row>
    <row r="125">
      <c r="A125" s="16">
        <v>19.0</v>
      </c>
      <c r="B125" s="11" t="s">
        <v>36</v>
      </c>
      <c r="C125" s="12">
        <f t="shared" si="7"/>
        <v>0</v>
      </c>
      <c r="D125" s="13"/>
      <c r="E125" s="12">
        <v>0.0</v>
      </c>
      <c r="F125" s="12">
        <v>0.0</v>
      </c>
      <c r="G125" s="12">
        <v>0.0</v>
      </c>
      <c r="H125" s="12">
        <v>0.0</v>
      </c>
      <c r="I125" s="12">
        <v>0.0</v>
      </c>
      <c r="J125" s="12">
        <v>0.0</v>
      </c>
      <c r="K125" s="12">
        <v>0.0</v>
      </c>
      <c r="L125" s="12">
        <v>0.0</v>
      </c>
    </row>
    <row r="126">
      <c r="A126" s="16">
        <v>20.0</v>
      </c>
      <c r="B126" s="14" t="s">
        <v>37</v>
      </c>
      <c r="C126" s="12">
        <f t="shared" si="7"/>
        <v>0</v>
      </c>
      <c r="D126" s="13"/>
      <c r="E126" s="12">
        <v>0.0</v>
      </c>
      <c r="F126" s="12">
        <v>0.0</v>
      </c>
      <c r="G126" s="12">
        <v>0.0</v>
      </c>
      <c r="H126" s="12">
        <v>0.0</v>
      </c>
      <c r="I126" s="12">
        <v>0.0</v>
      </c>
      <c r="J126" s="12">
        <v>0.0</v>
      </c>
      <c r="K126" s="12">
        <v>0.0</v>
      </c>
      <c r="L126" s="12">
        <v>0.0</v>
      </c>
    </row>
    <row r="127">
      <c r="A127" s="10">
        <v>21.0</v>
      </c>
      <c r="B127" s="11" t="s">
        <v>38</v>
      </c>
      <c r="C127" s="12">
        <f t="shared" si="7"/>
        <v>0</v>
      </c>
      <c r="D127" s="13"/>
      <c r="E127" s="12">
        <v>0.0</v>
      </c>
      <c r="F127" s="12">
        <v>0.0</v>
      </c>
      <c r="G127" s="12">
        <v>0.0</v>
      </c>
      <c r="H127" s="12">
        <v>0.0</v>
      </c>
      <c r="I127" s="12">
        <v>0.0</v>
      </c>
      <c r="J127" s="12">
        <v>0.0</v>
      </c>
      <c r="K127" s="12">
        <v>0.0</v>
      </c>
      <c r="L127" s="12">
        <v>0.0</v>
      </c>
    </row>
    <row r="128">
      <c r="A128" s="10">
        <v>22.0</v>
      </c>
      <c r="B128" s="11" t="s">
        <v>39</v>
      </c>
      <c r="C128" s="12">
        <f t="shared" si="7"/>
        <v>0</v>
      </c>
      <c r="D128" s="13"/>
      <c r="E128" s="12">
        <v>0.0</v>
      </c>
      <c r="F128" s="12">
        <v>0.0</v>
      </c>
      <c r="G128" s="12">
        <v>0.0</v>
      </c>
      <c r="H128" s="12">
        <v>0.0</v>
      </c>
      <c r="I128" s="12">
        <v>0.0</v>
      </c>
      <c r="J128" s="12">
        <v>0.0</v>
      </c>
      <c r="K128" s="12">
        <v>0.0</v>
      </c>
      <c r="L128" s="12">
        <v>0.0</v>
      </c>
    </row>
    <row r="129">
      <c r="A129" s="10">
        <v>23.0</v>
      </c>
      <c r="B129" s="14" t="s">
        <v>40</v>
      </c>
      <c r="C129" s="12">
        <f t="shared" si="7"/>
        <v>0</v>
      </c>
      <c r="D129" s="13"/>
      <c r="E129" s="12">
        <v>0.0</v>
      </c>
      <c r="F129" s="12">
        <v>0.0</v>
      </c>
      <c r="G129" s="12">
        <v>0.0</v>
      </c>
      <c r="H129" s="12">
        <v>0.0</v>
      </c>
      <c r="I129" s="12">
        <v>0.0</v>
      </c>
      <c r="J129" s="12">
        <v>0.0</v>
      </c>
      <c r="K129" s="12">
        <v>0.0</v>
      </c>
      <c r="L129" s="12">
        <v>0.0</v>
      </c>
    </row>
    <row r="130">
      <c r="A130" s="10">
        <v>24.0</v>
      </c>
      <c r="B130" s="14" t="s">
        <v>42</v>
      </c>
      <c r="C130" s="12">
        <f t="shared" si="7"/>
        <v>0</v>
      </c>
      <c r="D130" s="13"/>
      <c r="E130" s="12">
        <v>0.0</v>
      </c>
      <c r="F130" s="12">
        <v>0.0</v>
      </c>
      <c r="G130" s="12">
        <v>0.0</v>
      </c>
      <c r="H130" s="12">
        <v>0.0</v>
      </c>
      <c r="I130" s="12">
        <v>0.0</v>
      </c>
      <c r="J130" s="12">
        <v>0.0</v>
      </c>
      <c r="K130" s="12">
        <v>0.0</v>
      </c>
      <c r="L130" s="12">
        <v>0.0</v>
      </c>
    </row>
    <row r="131">
      <c r="A131" s="10">
        <v>25.0</v>
      </c>
      <c r="B131" s="14" t="s">
        <v>43</v>
      </c>
      <c r="C131" s="12">
        <f t="shared" si="7"/>
        <v>0</v>
      </c>
      <c r="D131" s="13"/>
      <c r="E131" s="12">
        <v>0.0</v>
      </c>
      <c r="F131" s="12">
        <v>0.0</v>
      </c>
      <c r="G131" s="12">
        <v>0.0</v>
      </c>
      <c r="H131" s="12">
        <v>0.0</v>
      </c>
      <c r="I131" s="12">
        <v>0.0</v>
      </c>
      <c r="J131" s="12">
        <v>0.0</v>
      </c>
      <c r="K131" s="12">
        <v>0.0</v>
      </c>
      <c r="L131" s="12">
        <v>0.0</v>
      </c>
    </row>
    <row r="132">
      <c r="A132" s="10">
        <v>26.0</v>
      </c>
      <c r="B132" s="11" t="s">
        <v>44</v>
      </c>
      <c r="C132" s="12">
        <f t="shared" si="7"/>
        <v>0</v>
      </c>
      <c r="D132" s="13"/>
      <c r="E132" s="12">
        <v>0.0</v>
      </c>
      <c r="F132" s="12">
        <v>0.0</v>
      </c>
      <c r="G132" s="12">
        <v>0.0</v>
      </c>
      <c r="H132" s="12">
        <v>0.0</v>
      </c>
      <c r="I132" s="12">
        <v>0.0</v>
      </c>
      <c r="J132" s="12">
        <v>0.0</v>
      </c>
      <c r="K132" s="12">
        <v>0.0</v>
      </c>
      <c r="L132" s="12">
        <v>0.0</v>
      </c>
    </row>
    <row r="133">
      <c r="A133" s="10">
        <v>27.0</v>
      </c>
      <c r="B133" s="11" t="s">
        <v>45</v>
      </c>
      <c r="C133" s="12">
        <f t="shared" si="7"/>
        <v>0</v>
      </c>
      <c r="D133" s="13"/>
      <c r="E133" s="12">
        <v>0.0</v>
      </c>
      <c r="F133" s="12">
        <v>0.0</v>
      </c>
      <c r="G133" s="12">
        <v>0.0</v>
      </c>
      <c r="H133" s="12">
        <v>0.0</v>
      </c>
      <c r="I133" s="12">
        <v>0.0</v>
      </c>
      <c r="J133" s="12">
        <v>0.0</v>
      </c>
      <c r="K133" s="12">
        <v>0.0</v>
      </c>
      <c r="L133" s="12">
        <v>0.0</v>
      </c>
    </row>
    <row r="134">
      <c r="A134" s="10">
        <v>28.0</v>
      </c>
      <c r="B134" s="17" t="s">
        <v>46</v>
      </c>
      <c r="C134" s="12">
        <f t="shared" si="7"/>
        <v>0</v>
      </c>
      <c r="D134" s="13"/>
      <c r="E134" s="12">
        <v>0.0</v>
      </c>
      <c r="F134" s="12">
        <v>0.0</v>
      </c>
      <c r="G134" s="12">
        <v>0.0</v>
      </c>
      <c r="H134" s="12">
        <v>0.0</v>
      </c>
      <c r="I134" s="12">
        <v>0.0</v>
      </c>
      <c r="J134" s="12">
        <v>0.0</v>
      </c>
      <c r="K134" s="12">
        <v>0.0</v>
      </c>
      <c r="L134" s="12">
        <v>0.0</v>
      </c>
    </row>
    <row r="135">
      <c r="A135" s="10">
        <v>29.0</v>
      </c>
      <c r="B135" s="11" t="s">
        <v>15</v>
      </c>
      <c r="C135" s="12">
        <f t="shared" si="7"/>
        <v>0</v>
      </c>
      <c r="D135" s="13"/>
      <c r="E135" s="12">
        <v>0.0</v>
      </c>
      <c r="F135" s="12">
        <v>0.0</v>
      </c>
      <c r="G135" s="12">
        <v>0.0</v>
      </c>
      <c r="H135" s="12">
        <v>0.0</v>
      </c>
      <c r="I135" s="12">
        <v>0.0</v>
      </c>
      <c r="J135" s="12">
        <v>0.0</v>
      </c>
      <c r="K135" s="12">
        <v>0.0</v>
      </c>
      <c r="L135" s="12">
        <v>0.0</v>
      </c>
    </row>
    <row r="136">
      <c r="A136" s="10">
        <v>30.0</v>
      </c>
      <c r="B136" s="11" t="s">
        <v>47</v>
      </c>
      <c r="C136" s="12">
        <f t="shared" si="7"/>
        <v>0</v>
      </c>
      <c r="D136" s="18"/>
      <c r="E136" s="12">
        <v>0.0</v>
      </c>
      <c r="F136" s="12">
        <v>0.0</v>
      </c>
      <c r="G136" s="12">
        <v>0.0</v>
      </c>
      <c r="H136" s="12">
        <v>0.0</v>
      </c>
      <c r="I136" s="12">
        <v>0.0</v>
      </c>
      <c r="J136" s="12">
        <v>0.0</v>
      </c>
      <c r="K136" s="12">
        <v>0.0</v>
      </c>
      <c r="L136" s="12">
        <v>0.0</v>
      </c>
    </row>
    <row r="137">
      <c r="A137" s="30" t="s">
        <v>63</v>
      </c>
      <c r="B137" s="3"/>
      <c r="C137" s="20">
        <f>SUM(C107:C136)</f>
        <v>157</v>
      </c>
      <c r="D137" s="21"/>
      <c r="E137" s="20">
        <f t="shared" ref="E137:L137" si="8">SUM(E107:E136)</f>
        <v>18</v>
      </c>
      <c r="F137" s="20">
        <f t="shared" si="8"/>
        <v>49</v>
      </c>
      <c r="G137" s="20">
        <f t="shared" si="8"/>
        <v>0</v>
      </c>
      <c r="H137" s="20">
        <f t="shared" si="8"/>
        <v>0</v>
      </c>
      <c r="I137" s="20">
        <f t="shared" si="8"/>
        <v>90</v>
      </c>
      <c r="J137" s="20">
        <f t="shared" si="8"/>
        <v>0</v>
      </c>
      <c r="K137" s="20">
        <f t="shared" si="8"/>
        <v>0</v>
      </c>
      <c r="L137" s="20">
        <f t="shared" si="8"/>
        <v>0</v>
      </c>
    </row>
    <row r="138">
      <c r="A138" s="31" t="s">
        <v>64</v>
      </c>
      <c r="B138" s="2"/>
      <c r="C138" s="3"/>
      <c r="D138" s="41"/>
      <c r="E138" s="33">
        <f>C103+C137</f>
        <v>413</v>
      </c>
      <c r="F138" s="41"/>
      <c r="G138" s="2"/>
      <c r="H138" s="2"/>
      <c r="I138" s="2"/>
      <c r="J138" s="2"/>
      <c r="K138" s="2"/>
      <c r="L138" s="3"/>
    </row>
    <row r="139">
      <c r="A139" s="2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3"/>
    </row>
    <row r="140">
      <c r="A140" s="35" t="s">
        <v>65</v>
      </c>
      <c r="B140" s="2"/>
      <c r="C140" s="3"/>
      <c r="D140" s="42"/>
      <c r="E140" s="6" t="s">
        <v>66</v>
      </c>
      <c r="F140" s="2"/>
      <c r="G140" s="2"/>
      <c r="H140" s="2"/>
      <c r="I140" s="2"/>
      <c r="J140" s="2"/>
      <c r="K140" s="2"/>
      <c r="L140" s="3"/>
    </row>
    <row r="141">
      <c r="A141" s="7" t="s">
        <v>5</v>
      </c>
      <c r="B141" s="7" t="s">
        <v>67</v>
      </c>
      <c r="C141" s="7" t="s">
        <v>7</v>
      </c>
      <c r="D141" s="8"/>
      <c r="E141" s="9" t="s">
        <v>8</v>
      </c>
      <c r="F141" s="9" t="s">
        <v>9</v>
      </c>
      <c r="G141" s="9" t="s">
        <v>10</v>
      </c>
      <c r="H141" s="9" t="s">
        <v>11</v>
      </c>
      <c r="I141" s="9" t="s">
        <v>12</v>
      </c>
      <c r="J141" s="9" t="s">
        <v>13</v>
      </c>
      <c r="K141" s="9" t="s">
        <v>14</v>
      </c>
      <c r="L141" s="9" t="s">
        <v>15</v>
      </c>
    </row>
    <row r="142">
      <c r="A142" s="27">
        <v>1.0</v>
      </c>
      <c r="B142" s="17" t="s">
        <v>16</v>
      </c>
      <c r="C142" s="7">
        <f t="shared" ref="C142:C171" si="9">E142+F142+G142+H142+I142+J142+K142+L142</f>
        <v>0</v>
      </c>
      <c r="D142" s="13"/>
      <c r="E142" s="7">
        <v>0.0</v>
      </c>
      <c r="F142" s="7">
        <v>0.0</v>
      </c>
      <c r="G142" s="7">
        <v>0.0</v>
      </c>
      <c r="H142" s="7">
        <v>0.0</v>
      </c>
      <c r="I142" s="7">
        <v>0.0</v>
      </c>
      <c r="J142" s="7">
        <v>0.0</v>
      </c>
      <c r="K142" s="7">
        <v>0.0</v>
      </c>
      <c r="L142" s="7">
        <v>0.0</v>
      </c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>
      <c r="A143" s="10">
        <v>2.0</v>
      </c>
      <c r="B143" s="11" t="s">
        <v>17</v>
      </c>
      <c r="C143" s="12">
        <f t="shared" si="9"/>
        <v>0</v>
      </c>
      <c r="D143" s="13"/>
      <c r="E143" s="12">
        <v>0.0</v>
      </c>
      <c r="F143" s="12">
        <v>0.0</v>
      </c>
      <c r="G143" s="12">
        <v>0.0</v>
      </c>
      <c r="H143" s="12">
        <v>0.0</v>
      </c>
      <c r="I143" s="12">
        <v>0.0</v>
      </c>
      <c r="J143" s="12">
        <v>0.0</v>
      </c>
      <c r="K143" s="12">
        <v>0.0</v>
      </c>
      <c r="L143" s="12">
        <v>0.0</v>
      </c>
    </row>
    <row r="144">
      <c r="A144" s="10">
        <v>3.0</v>
      </c>
      <c r="B144" s="11" t="s">
        <v>18</v>
      </c>
      <c r="C144" s="12">
        <f t="shared" si="9"/>
        <v>0</v>
      </c>
      <c r="D144" s="13"/>
      <c r="E144" s="12">
        <v>0.0</v>
      </c>
      <c r="F144" s="12">
        <v>0.0</v>
      </c>
      <c r="G144" s="12">
        <v>0.0</v>
      </c>
      <c r="H144" s="12">
        <v>0.0</v>
      </c>
      <c r="I144" s="12">
        <v>0.0</v>
      </c>
      <c r="J144" s="12">
        <v>0.0</v>
      </c>
      <c r="K144" s="12">
        <v>0.0</v>
      </c>
      <c r="L144" s="12">
        <v>0.0</v>
      </c>
    </row>
    <row r="145">
      <c r="A145" s="10">
        <v>4.0</v>
      </c>
      <c r="B145" s="11" t="s">
        <v>19</v>
      </c>
      <c r="C145" s="12">
        <f t="shared" si="9"/>
        <v>0</v>
      </c>
      <c r="D145" s="13"/>
      <c r="E145" s="12">
        <v>0.0</v>
      </c>
      <c r="F145" s="12">
        <v>0.0</v>
      </c>
      <c r="G145" s="12">
        <v>0.0</v>
      </c>
      <c r="H145" s="12">
        <v>0.0</v>
      </c>
      <c r="I145" s="12">
        <v>0.0</v>
      </c>
      <c r="J145" s="12">
        <v>0.0</v>
      </c>
      <c r="K145" s="12">
        <v>0.0</v>
      </c>
      <c r="L145" s="12">
        <v>0.0</v>
      </c>
    </row>
    <row r="146">
      <c r="A146" s="27">
        <v>5.0</v>
      </c>
      <c r="B146" s="17" t="s">
        <v>20</v>
      </c>
      <c r="C146" s="7">
        <f t="shared" si="9"/>
        <v>26</v>
      </c>
      <c r="D146" s="13"/>
      <c r="E146" s="7">
        <v>26.0</v>
      </c>
      <c r="F146" s="7">
        <v>0.0</v>
      </c>
      <c r="G146" s="7">
        <v>0.0</v>
      </c>
      <c r="H146" s="7">
        <v>0.0</v>
      </c>
      <c r="I146" s="7">
        <v>0.0</v>
      </c>
      <c r="J146" s="7">
        <v>0.0</v>
      </c>
      <c r="K146" s="7">
        <v>0.0</v>
      </c>
      <c r="L146" s="7">
        <v>0.0</v>
      </c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>
      <c r="A147" s="10">
        <v>6.0</v>
      </c>
      <c r="B147" s="14" t="s">
        <v>21</v>
      </c>
      <c r="C147" s="12">
        <f t="shared" si="9"/>
        <v>0</v>
      </c>
      <c r="D147" s="13"/>
      <c r="E147" s="12">
        <v>0.0</v>
      </c>
      <c r="F147" s="12">
        <v>0.0</v>
      </c>
      <c r="G147" s="12">
        <v>0.0</v>
      </c>
      <c r="H147" s="12">
        <v>0.0</v>
      </c>
      <c r="I147" s="12">
        <v>0.0</v>
      </c>
      <c r="J147" s="12">
        <v>0.0</v>
      </c>
      <c r="K147" s="12">
        <v>0.0</v>
      </c>
      <c r="L147" s="12">
        <v>0.0</v>
      </c>
    </row>
    <row r="148">
      <c r="A148" s="10">
        <v>7.0</v>
      </c>
      <c r="B148" s="11" t="s">
        <v>23</v>
      </c>
      <c r="C148" s="12">
        <f t="shared" si="9"/>
        <v>0</v>
      </c>
      <c r="D148" s="13"/>
      <c r="E148" s="12">
        <v>0.0</v>
      </c>
      <c r="F148" s="12">
        <v>0.0</v>
      </c>
      <c r="G148" s="12">
        <v>0.0</v>
      </c>
      <c r="H148" s="12">
        <v>0.0</v>
      </c>
      <c r="I148" s="12">
        <v>0.0</v>
      </c>
      <c r="J148" s="12">
        <v>0.0</v>
      </c>
      <c r="K148" s="12">
        <v>0.0</v>
      </c>
      <c r="L148" s="12">
        <v>0.0</v>
      </c>
    </row>
    <row r="149">
      <c r="A149" s="10">
        <v>8.0</v>
      </c>
      <c r="B149" s="11" t="s">
        <v>25</v>
      </c>
      <c r="C149" s="12">
        <f t="shared" si="9"/>
        <v>0</v>
      </c>
      <c r="D149" s="13"/>
      <c r="E149" s="12">
        <v>0.0</v>
      </c>
      <c r="F149" s="12">
        <v>0.0</v>
      </c>
      <c r="G149" s="12">
        <v>0.0</v>
      </c>
      <c r="H149" s="12">
        <v>0.0</v>
      </c>
      <c r="I149" s="12">
        <v>0.0</v>
      </c>
      <c r="J149" s="12">
        <v>0.0</v>
      </c>
      <c r="K149" s="12">
        <v>0.0</v>
      </c>
      <c r="L149" s="12">
        <v>0.0</v>
      </c>
    </row>
    <row r="150">
      <c r="A150" s="10">
        <v>9.0</v>
      </c>
      <c r="B150" s="17" t="s">
        <v>26</v>
      </c>
      <c r="C150" s="7">
        <f t="shared" si="9"/>
        <v>0</v>
      </c>
      <c r="D150" s="13"/>
      <c r="E150" s="12">
        <v>0.0</v>
      </c>
      <c r="F150" s="7">
        <v>0.0</v>
      </c>
      <c r="G150" s="12">
        <v>0.0</v>
      </c>
      <c r="H150" s="12">
        <v>0.0</v>
      </c>
      <c r="I150" s="12">
        <v>0.0</v>
      </c>
      <c r="J150" s="12">
        <v>0.0</v>
      </c>
      <c r="K150" s="12">
        <v>0.0</v>
      </c>
      <c r="L150" s="12">
        <v>0.0</v>
      </c>
    </row>
    <row r="151">
      <c r="A151" s="10">
        <v>10.0</v>
      </c>
      <c r="B151" s="29" t="s">
        <v>27</v>
      </c>
      <c r="C151" s="12">
        <f t="shared" si="9"/>
        <v>2</v>
      </c>
      <c r="D151" s="13"/>
      <c r="E151" s="12">
        <v>0.0</v>
      </c>
      <c r="F151" s="12">
        <v>0.0</v>
      </c>
      <c r="G151" s="7">
        <v>2.0</v>
      </c>
      <c r="H151" s="12">
        <v>0.0</v>
      </c>
      <c r="I151" s="12">
        <v>0.0</v>
      </c>
      <c r="J151" s="12">
        <v>0.0</v>
      </c>
      <c r="K151" s="12">
        <v>0.0</v>
      </c>
      <c r="L151" s="12">
        <v>0.0</v>
      </c>
    </row>
    <row r="152">
      <c r="A152" s="10">
        <v>11.0</v>
      </c>
      <c r="B152" s="11" t="s">
        <v>28</v>
      </c>
      <c r="C152" s="12">
        <f t="shared" si="9"/>
        <v>0</v>
      </c>
      <c r="D152" s="13"/>
      <c r="E152" s="12">
        <v>0.0</v>
      </c>
      <c r="F152" s="12">
        <v>0.0</v>
      </c>
      <c r="G152" s="12">
        <v>0.0</v>
      </c>
      <c r="H152" s="12">
        <v>0.0</v>
      </c>
      <c r="I152" s="12">
        <v>0.0</v>
      </c>
      <c r="J152" s="12">
        <v>0.0</v>
      </c>
      <c r="K152" s="12">
        <v>0.0</v>
      </c>
      <c r="L152" s="12">
        <v>0.0</v>
      </c>
    </row>
    <row r="153">
      <c r="A153" s="27">
        <v>12.0</v>
      </c>
      <c r="B153" s="17" t="s">
        <v>29</v>
      </c>
      <c r="C153" s="7">
        <f t="shared" si="9"/>
        <v>19</v>
      </c>
      <c r="D153" s="13"/>
      <c r="E153" s="7">
        <v>0.0</v>
      </c>
      <c r="F153" s="7">
        <v>19.0</v>
      </c>
      <c r="G153" s="7">
        <v>0.0</v>
      </c>
      <c r="H153" s="7">
        <v>0.0</v>
      </c>
      <c r="I153" s="7">
        <v>0.0</v>
      </c>
      <c r="J153" s="7">
        <v>0.0</v>
      </c>
      <c r="K153" s="7">
        <v>0.0</v>
      </c>
      <c r="L153" s="7">
        <v>0.0</v>
      </c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>
      <c r="A154" s="27">
        <v>13.0</v>
      </c>
      <c r="B154" s="17" t="s">
        <v>30</v>
      </c>
      <c r="C154" s="7">
        <f t="shared" si="9"/>
        <v>2</v>
      </c>
      <c r="D154" s="13"/>
      <c r="E154" s="7">
        <v>0.0</v>
      </c>
      <c r="F154" s="7">
        <v>0.0</v>
      </c>
      <c r="G154" s="7">
        <v>2.0</v>
      </c>
      <c r="H154" s="7">
        <v>0.0</v>
      </c>
      <c r="I154" s="7">
        <v>0.0</v>
      </c>
      <c r="J154" s="7">
        <v>0.0</v>
      </c>
      <c r="K154" s="7">
        <v>0.0</v>
      </c>
      <c r="L154" s="7">
        <v>0.0</v>
      </c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>
      <c r="A155" s="10">
        <v>14.0</v>
      </c>
      <c r="B155" s="11" t="s">
        <v>31</v>
      </c>
      <c r="C155" s="12">
        <f t="shared" si="9"/>
        <v>0</v>
      </c>
      <c r="D155" s="13"/>
      <c r="E155" s="12">
        <v>0.0</v>
      </c>
      <c r="F155" s="12">
        <v>0.0</v>
      </c>
      <c r="G155" s="12">
        <v>0.0</v>
      </c>
      <c r="H155" s="12">
        <v>0.0</v>
      </c>
      <c r="I155" s="12">
        <v>0.0</v>
      </c>
      <c r="J155" s="12">
        <v>0.0</v>
      </c>
      <c r="K155" s="12">
        <v>0.0</v>
      </c>
      <c r="L155" s="12">
        <v>0.0</v>
      </c>
    </row>
    <row r="156">
      <c r="A156" s="10">
        <v>15.0</v>
      </c>
      <c r="B156" s="11" t="s">
        <v>32</v>
      </c>
      <c r="C156" s="12">
        <f t="shared" si="9"/>
        <v>0</v>
      </c>
      <c r="D156" s="13"/>
      <c r="E156" s="12">
        <v>0.0</v>
      </c>
      <c r="F156" s="12">
        <v>0.0</v>
      </c>
      <c r="G156" s="12">
        <v>0.0</v>
      </c>
      <c r="H156" s="12">
        <v>0.0</v>
      </c>
      <c r="I156" s="12">
        <v>0.0</v>
      </c>
      <c r="J156" s="12">
        <v>0.0</v>
      </c>
      <c r="K156" s="12">
        <v>0.0</v>
      </c>
      <c r="L156" s="12">
        <v>0.0</v>
      </c>
    </row>
    <row r="157">
      <c r="A157" s="10">
        <v>16.0</v>
      </c>
      <c r="B157" s="14" t="s">
        <v>33</v>
      </c>
      <c r="C157" s="12">
        <f t="shared" si="9"/>
        <v>0</v>
      </c>
      <c r="D157" s="13"/>
      <c r="E157" s="12">
        <v>0.0</v>
      </c>
      <c r="F157" s="12">
        <v>0.0</v>
      </c>
      <c r="G157" s="12">
        <v>0.0</v>
      </c>
      <c r="H157" s="12">
        <v>0.0</v>
      </c>
      <c r="I157" s="12">
        <v>0.0</v>
      </c>
      <c r="J157" s="12">
        <v>0.0</v>
      </c>
      <c r="K157" s="12">
        <v>0.0</v>
      </c>
      <c r="L157" s="12">
        <v>0.0</v>
      </c>
    </row>
    <row r="158">
      <c r="A158" s="27">
        <v>17.0</v>
      </c>
      <c r="B158" s="29" t="s">
        <v>34</v>
      </c>
      <c r="C158" s="7">
        <f t="shared" si="9"/>
        <v>3</v>
      </c>
      <c r="D158" s="13"/>
      <c r="E158" s="7">
        <v>0.0</v>
      </c>
      <c r="F158" s="7">
        <v>3.0</v>
      </c>
      <c r="G158" s="7">
        <v>0.0</v>
      </c>
      <c r="H158" s="7">
        <v>0.0</v>
      </c>
      <c r="I158" s="7">
        <v>0.0</v>
      </c>
      <c r="J158" s="7">
        <v>0.0</v>
      </c>
      <c r="K158" s="7">
        <v>0.0</v>
      </c>
      <c r="L158" s="7">
        <v>0.0</v>
      </c>
      <c r="M158" s="28"/>
      <c r="N158" s="43" t="s">
        <v>0</v>
      </c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>
      <c r="A159" s="10">
        <v>18.0</v>
      </c>
      <c r="B159" s="14" t="s">
        <v>35</v>
      </c>
      <c r="C159" s="12">
        <f t="shared" si="9"/>
        <v>0</v>
      </c>
      <c r="D159" s="13"/>
      <c r="E159" s="12">
        <v>0.0</v>
      </c>
      <c r="F159" s="12">
        <v>0.0</v>
      </c>
      <c r="G159" s="12">
        <v>0.0</v>
      </c>
      <c r="H159" s="12">
        <v>0.0</v>
      </c>
      <c r="I159" s="12">
        <v>0.0</v>
      </c>
      <c r="J159" s="12">
        <v>0.0</v>
      </c>
      <c r="K159" s="12">
        <v>0.0</v>
      </c>
      <c r="L159" s="12">
        <v>0.0</v>
      </c>
    </row>
    <row r="160">
      <c r="A160" s="16">
        <v>19.0</v>
      </c>
      <c r="B160" s="11" t="s">
        <v>36</v>
      </c>
      <c r="C160" s="12">
        <f t="shared" si="9"/>
        <v>0</v>
      </c>
      <c r="D160" s="13"/>
      <c r="E160" s="12">
        <v>0.0</v>
      </c>
      <c r="F160" s="12">
        <v>0.0</v>
      </c>
      <c r="G160" s="12">
        <v>0.0</v>
      </c>
      <c r="H160" s="12">
        <v>0.0</v>
      </c>
      <c r="I160" s="12">
        <v>0.0</v>
      </c>
      <c r="J160" s="12">
        <v>0.0</v>
      </c>
      <c r="K160" s="12">
        <v>0.0</v>
      </c>
      <c r="L160" s="12">
        <v>0.0</v>
      </c>
    </row>
    <row r="161">
      <c r="A161" s="16">
        <v>20.0</v>
      </c>
      <c r="B161" s="14" t="s">
        <v>37</v>
      </c>
      <c r="C161" s="12">
        <f t="shared" si="9"/>
        <v>0</v>
      </c>
      <c r="D161" s="13"/>
      <c r="E161" s="12">
        <v>0.0</v>
      </c>
      <c r="F161" s="12">
        <v>0.0</v>
      </c>
      <c r="G161" s="12">
        <v>0.0</v>
      </c>
      <c r="H161" s="12">
        <v>0.0</v>
      </c>
      <c r="I161" s="12">
        <v>0.0</v>
      </c>
      <c r="J161" s="12">
        <v>0.0</v>
      </c>
      <c r="K161" s="12">
        <v>0.0</v>
      </c>
      <c r="L161" s="12">
        <v>0.0</v>
      </c>
    </row>
    <row r="162">
      <c r="A162" s="10">
        <v>21.0</v>
      </c>
      <c r="B162" s="11" t="s">
        <v>38</v>
      </c>
      <c r="C162" s="12">
        <f t="shared" si="9"/>
        <v>0</v>
      </c>
      <c r="D162" s="13"/>
      <c r="E162" s="12">
        <v>0.0</v>
      </c>
      <c r="F162" s="12">
        <v>0.0</v>
      </c>
      <c r="G162" s="12">
        <v>0.0</v>
      </c>
      <c r="H162" s="12">
        <v>0.0</v>
      </c>
      <c r="I162" s="12">
        <v>0.0</v>
      </c>
      <c r="J162" s="12">
        <v>0.0</v>
      </c>
      <c r="K162" s="12">
        <v>0.0</v>
      </c>
      <c r="L162" s="12">
        <v>0.0</v>
      </c>
    </row>
    <row r="163">
      <c r="A163" s="10">
        <v>22.0</v>
      </c>
      <c r="B163" s="11" t="s">
        <v>39</v>
      </c>
      <c r="C163" s="12">
        <f t="shared" si="9"/>
        <v>0</v>
      </c>
      <c r="D163" s="13"/>
      <c r="E163" s="12">
        <v>0.0</v>
      </c>
      <c r="F163" s="12">
        <v>0.0</v>
      </c>
      <c r="G163" s="12">
        <v>0.0</v>
      </c>
      <c r="H163" s="12">
        <v>0.0</v>
      </c>
      <c r="I163" s="12">
        <v>0.0</v>
      </c>
      <c r="J163" s="12">
        <v>0.0</v>
      </c>
      <c r="K163" s="12">
        <v>0.0</v>
      </c>
      <c r="L163" s="12">
        <v>0.0</v>
      </c>
    </row>
    <row r="164">
      <c r="A164" s="10">
        <v>23.0</v>
      </c>
      <c r="B164" s="29" t="s">
        <v>40</v>
      </c>
      <c r="C164" s="7">
        <f t="shared" si="9"/>
        <v>71</v>
      </c>
      <c r="D164" s="13"/>
      <c r="E164" s="7">
        <v>3.0</v>
      </c>
      <c r="F164" s="7">
        <v>68.0</v>
      </c>
      <c r="G164" s="7">
        <v>0.0</v>
      </c>
      <c r="H164" s="12">
        <v>0.0</v>
      </c>
      <c r="I164" s="12">
        <v>0.0</v>
      </c>
      <c r="J164" s="12">
        <v>0.0</v>
      </c>
      <c r="K164" s="12">
        <v>0.0</v>
      </c>
      <c r="L164" s="12">
        <v>0.0</v>
      </c>
    </row>
    <row r="165">
      <c r="A165" s="10">
        <v>24.0</v>
      </c>
      <c r="B165" s="29" t="s">
        <v>42</v>
      </c>
      <c r="C165" s="12">
        <f t="shared" si="9"/>
        <v>2</v>
      </c>
      <c r="D165" s="13"/>
      <c r="E165" s="12">
        <v>0.0</v>
      </c>
      <c r="F165" s="12">
        <v>0.0</v>
      </c>
      <c r="G165" s="7">
        <v>2.0</v>
      </c>
      <c r="H165" s="12">
        <v>0.0</v>
      </c>
      <c r="I165" s="12">
        <v>0.0</v>
      </c>
      <c r="J165" s="12">
        <v>0.0</v>
      </c>
      <c r="K165" s="12">
        <v>0.0</v>
      </c>
      <c r="L165" s="12">
        <v>0.0</v>
      </c>
    </row>
    <row r="166">
      <c r="A166" s="10">
        <v>25.0</v>
      </c>
      <c r="B166" s="14" t="s">
        <v>43</v>
      </c>
      <c r="C166" s="12">
        <f t="shared" si="9"/>
        <v>0</v>
      </c>
      <c r="D166" s="13"/>
      <c r="E166" s="12">
        <v>0.0</v>
      </c>
      <c r="F166" s="12">
        <v>0.0</v>
      </c>
      <c r="G166" s="12">
        <v>0.0</v>
      </c>
      <c r="H166" s="12">
        <v>0.0</v>
      </c>
      <c r="I166" s="12">
        <v>0.0</v>
      </c>
      <c r="J166" s="12">
        <v>0.0</v>
      </c>
      <c r="K166" s="12">
        <v>0.0</v>
      </c>
      <c r="L166" s="12">
        <v>0.0</v>
      </c>
    </row>
    <row r="167">
      <c r="A167" s="10">
        <v>26.0</v>
      </c>
      <c r="B167" s="11" t="s">
        <v>44</v>
      </c>
      <c r="C167" s="12">
        <f t="shared" si="9"/>
        <v>0</v>
      </c>
      <c r="D167" s="13"/>
      <c r="E167" s="12">
        <v>0.0</v>
      </c>
      <c r="F167" s="12">
        <v>0.0</v>
      </c>
      <c r="G167" s="12">
        <v>0.0</v>
      </c>
      <c r="H167" s="12">
        <v>0.0</v>
      </c>
      <c r="I167" s="12">
        <v>0.0</v>
      </c>
      <c r="J167" s="12">
        <v>0.0</v>
      </c>
      <c r="K167" s="12">
        <v>0.0</v>
      </c>
      <c r="L167" s="12">
        <v>0.0</v>
      </c>
    </row>
    <row r="168">
      <c r="A168" s="10">
        <v>27.0</v>
      </c>
      <c r="B168" s="11" t="s">
        <v>45</v>
      </c>
      <c r="C168" s="12">
        <f t="shared" si="9"/>
        <v>0</v>
      </c>
      <c r="D168" s="13"/>
      <c r="E168" s="12">
        <v>0.0</v>
      </c>
      <c r="F168" s="12">
        <v>0.0</v>
      </c>
      <c r="G168" s="12">
        <v>0.0</v>
      </c>
      <c r="H168" s="12">
        <v>0.0</v>
      </c>
      <c r="I168" s="12">
        <v>0.0</v>
      </c>
      <c r="J168" s="12">
        <v>0.0</v>
      </c>
      <c r="K168" s="12">
        <v>0.0</v>
      </c>
      <c r="L168" s="12">
        <v>0.0</v>
      </c>
    </row>
    <row r="169">
      <c r="A169" s="10">
        <v>28.0</v>
      </c>
      <c r="B169" s="17" t="s">
        <v>46</v>
      </c>
      <c r="C169" s="12">
        <f t="shared" si="9"/>
        <v>0</v>
      </c>
      <c r="D169" s="13"/>
      <c r="E169" s="12">
        <v>0.0</v>
      </c>
      <c r="F169" s="12">
        <v>0.0</v>
      </c>
      <c r="G169" s="12">
        <v>0.0</v>
      </c>
      <c r="H169" s="12">
        <v>0.0</v>
      </c>
      <c r="I169" s="12">
        <v>0.0</v>
      </c>
      <c r="J169" s="12">
        <v>0.0</v>
      </c>
      <c r="K169" s="12">
        <v>0.0</v>
      </c>
      <c r="L169" s="12">
        <v>0.0</v>
      </c>
    </row>
    <row r="170">
      <c r="A170" s="10">
        <v>29.0</v>
      </c>
      <c r="B170" s="11" t="s">
        <v>15</v>
      </c>
      <c r="C170" s="12">
        <f t="shared" si="9"/>
        <v>0</v>
      </c>
      <c r="D170" s="13"/>
      <c r="E170" s="12">
        <v>0.0</v>
      </c>
      <c r="F170" s="12">
        <v>0.0</v>
      </c>
      <c r="G170" s="12">
        <v>0.0</v>
      </c>
      <c r="H170" s="12">
        <v>0.0</v>
      </c>
      <c r="I170" s="12">
        <v>0.0</v>
      </c>
      <c r="J170" s="12">
        <v>0.0</v>
      </c>
      <c r="K170" s="12">
        <v>0.0</v>
      </c>
      <c r="L170" s="12">
        <v>0.0</v>
      </c>
    </row>
    <row r="171">
      <c r="A171" s="10">
        <v>30.0</v>
      </c>
      <c r="B171" s="11" t="s">
        <v>47</v>
      </c>
      <c r="C171" s="12">
        <f t="shared" si="9"/>
        <v>0</v>
      </c>
      <c r="D171" s="18"/>
      <c r="E171" s="12">
        <v>0.0</v>
      </c>
      <c r="F171" s="12">
        <v>0.0</v>
      </c>
      <c r="G171" s="12">
        <v>0.0</v>
      </c>
      <c r="H171" s="12">
        <v>0.0</v>
      </c>
      <c r="I171" s="12">
        <v>0.0</v>
      </c>
      <c r="J171" s="12">
        <v>0.0</v>
      </c>
      <c r="K171" s="12">
        <v>0.0</v>
      </c>
      <c r="L171" s="12">
        <v>0.0</v>
      </c>
    </row>
    <row r="172">
      <c r="A172" s="19" t="s">
        <v>68</v>
      </c>
      <c r="B172" s="3"/>
      <c r="C172" s="20">
        <f>SUM(C142:C171)</f>
        <v>125</v>
      </c>
      <c r="D172" s="21"/>
      <c r="E172" s="20">
        <f t="shared" ref="E172:L172" si="10">SUM(E142:E171)</f>
        <v>29</v>
      </c>
      <c r="F172" s="20">
        <f t="shared" si="10"/>
        <v>90</v>
      </c>
      <c r="G172" s="20">
        <f t="shared" si="10"/>
        <v>6</v>
      </c>
      <c r="H172" s="20">
        <f t="shared" si="10"/>
        <v>0</v>
      </c>
      <c r="I172" s="20">
        <f t="shared" si="10"/>
        <v>0</v>
      </c>
      <c r="J172" s="20">
        <f t="shared" si="10"/>
        <v>0</v>
      </c>
      <c r="K172" s="20">
        <f t="shared" si="10"/>
        <v>0</v>
      </c>
      <c r="L172" s="20">
        <f t="shared" si="10"/>
        <v>0</v>
      </c>
    </row>
    <row r="173">
      <c r="A173" s="2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3"/>
    </row>
    <row r="174">
      <c r="A174" s="39" t="s">
        <v>69</v>
      </c>
      <c r="B174" s="2"/>
      <c r="C174" s="3"/>
      <c r="D174" s="40"/>
      <c r="E174" s="26" t="s">
        <v>70</v>
      </c>
      <c r="F174" s="2"/>
      <c r="G174" s="2"/>
      <c r="H174" s="2"/>
      <c r="I174" s="2"/>
      <c r="J174" s="2"/>
      <c r="K174" s="2"/>
      <c r="L174" s="3"/>
    </row>
    <row r="175">
      <c r="A175" s="7" t="s">
        <v>5</v>
      </c>
      <c r="B175" s="7" t="s">
        <v>71</v>
      </c>
      <c r="C175" s="7" t="s">
        <v>7</v>
      </c>
      <c r="D175" s="8"/>
      <c r="E175" s="9" t="s">
        <v>8</v>
      </c>
      <c r="F175" s="9" t="s">
        <v>9</v>
      </c>
      <c r="G175" s="9" t="s">
        <v>10</v>
      </c>
      <c r="H175" s="9" t="s">
        <v>11</v>
      </c>
      <c r="I175" s="9" t="s">
        <v>12</v>
      </c>
      <c r="J175" s="9" t="s">
        <v>13</v>
      </c>
      <c r="K175" s="9" t="s">
        <v>14</v>
      </c>
      <c r="L175" s="9" t="s">
        <v>15</v>
      </c>
    </row>
    <row r="176">
      <c r="A176" s="10">
        <v>1.0</v>
      </c>
      <c r="B176" s="11" t="s">
        <v>16</v>
      </c>
      <c r="C176" s="7">
        <f t="shared" ref="C176:C205" si="11">E176+F176+G176+H176+I176+J176+K176+L176</f>
        <v>8</v>
      </c>
      <c r="D176" s="13"/>
      <c r="E176" s="12">
        <v>0.0</v>
      </c>
      <c r="F176" s="12">
        <v>0.0</v>
      </c>
      <c r="G176" s="12">
        <v>0.0</v>
      </c>
      <c r="H176" s="12">
        <v>0.0</v>
      </c>
      <c r="I176" s="7">
        <v>8.0</v>
      </c>
      <c r="J176" s="12">
        <v>0.0</v>
      </c>
      <c r="K176" s="12">
        <v>0.0</v>
      </c>
      <c r="L176" s="12">
        <v>0.0</v>
      </c>
    </row>
    <row r="177">
      <c r="A177" s="10">
        <v>2.0</v>
      </c>
      <c r="B177" s="11" t="s">
        <v>17</v>
      </c>
      <c r="C177" s="12">
        <f t="shared" si="11"/>
        <v>0</v>
      </c>
      <c r="D177" s="13"/>
      <c r="E177" s="12">
        <v>0.0</v>
      </c>
      <c r="F177" s="12">
        <v>0.0</v>
      </c>
      <c r="G177" s="12">
        <v>0.0</v>
      </c>
      <c r="H177" s="12">
        <v>0.0</v>
      </c>
      <c r="I177" s="12">
        <v>0.0</v>
      </c>
      <c r="J177" s="12">
        <v>0.0</v>
      </c>
      <c r="K177" s="12">
        <v>0.0</v>
      </c>
      <c r="L177" s="12">
        <v>0.0</v>
      </c>
    </row>
    <row r="178">
      <c r="A178" s="10">
        <v>3.0</v>
      </c>
      <c r="B178" s="11" t="s">
        <v>18</v>
      </c>
      <c r="C178" s="12">
        <f t="shared" si="11"/>
        <v>0</v>
      </c>
      <c r="D178" s="13"/>
      <c r="E178" s="12">
        <v>0.0</v>
      </c>
      <c r="F178" s="12">
        <v>0.0</v>
      </c>
      <c r="G178" s="12">
        <v>0.0</v>
      </c>
      <c r="H178" s="12">
        <v>0.0</v>
      </c>
      <c r="I178" s="12">
        <v>0.0</v>
      </c>
      <c r="J178" s="12">
        <v>0.0</v>
      </c>
      <c r="K178" s="12">
        <v>0.0</v>
      </c>
      <c r="L178" s="12">
        <v>0.0</v>
      </c>
    </row>
    <row r="179">
      <c r="A179" s="10">
        <v>4.0</v>
      </c>
      <c r="B179" s="11" t="s">
        <v>19</v>
      </c>
      <c r="C179" s="12">
        <f t="shared" si="11"/>
        <v>0</v>
      </c>
      <c r="D179" s="13"/>
      <c r="E179" s="12">
        <v>0.0</v>
      </c>
      <c r="F179" s="12">
        <v>0.0</v>
      </c>
      <c r="G179" s="12">
        <v>0.0</v>
      </c>
      <c r="H179" s="12">
        <v>0.0</v>
      </c>
      <c r="I179" s="12">
        <v>0.0</v>
      </c>
      <c r="J179" s="12">
        <v>0.0</v>
      </c>
      <c r="K179" s="12">
        <v>0.0</v>
      </c>
      <c r="L179" s="12">
        <v>0.0</v>
      </c>
    </row>
    <row r="180">
      <c r="A180" s="10">
        <v>5.0</v>
      </c>
      <c r="B180" s="17" t="s">
        <v>20</v>
      </c>
      <c r="C180" s="7">
        <f t="shared" si="11"/>
        <v>15</v>
      </c>
      <c r="D180" s="13"/>
      <c r="E180" s="7">
        <v>15.0</v>
      </c>
      <c r="F180" s="12">
        <v>0.0</v>
      </c>
      <c r="G180" s="12">
        <v>0.0</v>
      </c>
      <c r="H180" s="12">
        <v>0.0</v>
      </c>
      <c r="I180" s="12">
        <v>0.0</v>
      </c>
      <c r="J180" s="12">
        <v>0.0</v>
      </c>
      <c r="K180" s="12">
        <v>0.0</v>
      </c>
      <c r="L180" s="12">
        <v>0.0</v>
      </c>
    </row>
    <row r="181">
      <c r="A181" s="10">
        <v>6.0</v>
      </c>
      <c r="B181" s="14" t="s">
        <v>21</v>
      </c>
      <c r="C181" s="12">
        <f t="shared" si="11"/>
        <v>0</v>
      </c>
      <c r="D181" s="13"/>
      <c r="E181" s="12">
        <v>0.0</v>
      </c>
      <c r="F181" s="12">
        <v>0.0</v>
      </c>
      <c r="G181" s="12">
        <v>0.0</v>
      </c>
      <c r="H181" s="12">
        <v>0.0</v>
      </c>
      <c r="I181" s="12">
        <v>0.0</v>
      </c>
      <c r="J181" s="12">
        <v>0.0</v>
      </c>
      <c r="K181" s="12">
        <v>0.0</v>
      </c>
      <c r="L181" s="12">
        <v>0.0</v>
      </c>
    </row>
    <row r="182">
      <c r="A182" s="10">
        <v>7.0</v>
      </c>
      <c r="B182" s="11" t="s">
        <v>23</v>
      </c>
      <c r="C182" s="12">
        <f t="shared" si="11"/>
        <v>0</v>
      </c>
      <c r="D182" s="13"/>
      <c r="E182" s="12">
        <v>0.0</v>
      </c>
      <c r="F182" s="12">
        <v>0.0</v>
      </c>
      <c r="G182" s="12">
        <v>0.0</v>
      </c>
      <c r="H182" s="12">
        <v>0.0</v>
      </c>
      <c r="I182" s="12">
        <v>0.0</v>
      </c>
      <c r="J182" s="12">
        <v>0.0</v>
      </c>
      <c r="K182" s="12">
        <v>0.0</v>
      </c>
      <c r="L182" s="12">
        <v>0.0</v>
      </c>
    </row>
    <row r="183">
      <c r="A183" s="10">
        <v>8.0</v>
      </c>
      <c r="B183" s="11" t="s">
        <v>25</v>
      </c>
      <c r="C183" s="12">
        <f t="shared" si="11"/>
        <v>0</v>
      </c>
      <c r="D183" s="13"/>
      <c r="E183" s="12">
        <v>0.0</v>
      </c>
      <c r="F183" s="12">
        <v>0.0</v>
      </c>
      <c r="G183" s="12">
        <v>0.0</v>
      </c>
      <c r="H183" s="12">
        <v>0.0</v>
      </c>
      <c r="I183" s="12">
        <v>0.0</v>
      </c>
      <c r="J183" s="12">
        <v>0.0</v>
      </c>
      <c r="K183" s="12">
        <v>0.0</v>
      </c>
      <c r="L183" s="12">
        <v>0.0</v>
      </c>
    </row>
    <row r="184">
      <c r="A184" s="10">
        <v>9.0</v>
      </c>
      <c r="B184" s="11" t="s">
        <v>26</v>
      </c>
      <c r="C184" s="12">
        <f t="shared" si="11"/>
        <v>0</v>
      </c>
      <c r="D184" s="13"/>
      <c r="E184" s="12">
        <v>0.0</v>
      </c>
      <c r="F184" s="12">
        <v>0.0</v>
      </c>
      <c r="G184" s="12">
        <v>0.0</v>
      </c>
      <c r="H184" s="12">
        <v>0.0</v>
      </c>
      <c r="I184" s="12">
        <v>0.0</v>
      </c>
      <c r="J184" s="12">
        <v>0.0</v>
      </c>
      <c r="K184" s="12">
        <v>0.0</v>
      </c>
      <c r="L184" s="12">
        <v>0.0</v>
      </c>
    </row>
    <row r="185">
      <c r="A185" s="10">
        <v>10.0</v>
      </c>
      <c r="B185" s="14" t="s">
        <v>27</v>
      </c>
      <c r="C185" s="12">
        <f t="shared" si="11"/>
        <v>0</v>
      </c>
      <c r="D185" s="13"/>
      <c r="E185" s="12">
        <v>0.0</v>
      </c>
      <c r="F185" s="12">
        <v>0.0</v>
      </c>
      <c r="G185" s="12">
        <v>0.0</v>
      </c>
      <c r="H185" s="12">
        <v>0.0</v>
      </c>
      <c r="I185" s="12">
        <v>0.0</v>
      </c>
      <c r="J185" s="12">
        <v>0.0</v>
      </c>
      <c r="K185" s="12">
        <v>0.0</v>
      </c>
      <c r="L185" s="12">
        <v>0.0</v>
      </c>
    </row>
    <row r="186">
      <c r="A186" s="10">
        <v>11.0</v>
      </c>
      <c r="B186" s="11" t="s">
        <v>28</v>
      </c>
      <c r="C186" s="12">
        <f t="shared" si="11"/>
        <v>0</v>
      </c>
      <c r="D186" s="13"/>
      <c r="E186" s="12">
        <v>0.0</v>
      </c>
      <c r="F186" s="12">
        <v>0.0</v>
      </c>
      <c r="G186" s="12">
        <v>0.0</v>
      </c>
      <c r="H186" s="12">
        <v>0.0</v>
      </c>
      <c r="I186" s="12">
        <v>0.0</v>
      </c>
      <c r="J186" s="12">
        <v>0.0</v>
      </c>
      <c r="K186" s="12">
        <v>0.0</v>
      </c>
      <c r="L186" s="12">
        <v>0.0</v>
      </c>
    </row>
    <row r="187">
      <c r="A187" s="27">
        <v>12.0</v>
      </c>
      <c r="B187" s="17" t="s">
        <v>29</v>
      </c>
      <c r="C187" s="7">
        <f t="shared" si="11"/>
        <v>24</v>
      </c>
      <c r="D187" s="13"/>
      <c r="E187" s="7">
        <v>0.0</v>
      </c>
      <c r="F187" s="7">
        <v>24.0</v>
      </c>
      <c r="G187" s="7">
        <v>0.0</v>
      </c>
      <c r="H187" s="7">
        <v>0.0</v>
      </c>
      <c r="I187" s="7">
        <v>0.0</v>
      </c>
      <c r="J187" s="7">
        <v>0.0</v>
      </c>
      <c r="K187" s="7">
        <v>0.0</v>
      </c>
      <c r="L187" s="7">
        <v>0.0</v>
      </c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>
      <c r="A188" s="10">
        <v>13.0</v>
      </c>
      <c r="B188" s="11" t="s">
        <v>30</v>
      </c>
      <c r="C188" s="12">
        <f t="shared" si="11"/>
        <v>0</v>
      </c>
      <c r="D188" s="13"/>
      <c r="E188" s="12">
        <v>0.0</v>
      </c>
      <c r="F188" s="12">
        <v>0.0</v>
      </c>
      <c r="G188" s="12">
        <v>0.0</v>
      </c>
      <c r="H188" s="12">
        <v>0.0</v>
      </c>
      <c r="I188" s="12">
        <v>0.0</v>
      </c>
      <c r="J188" s="12">
        <v>0.0</v>
      </c>
      <c r="K188" s="12">
        <v>0.0</v>
      </c>
      <c r="L188" s="12">
        <v>0.0</v>
      </c>
    </row>
    <row r="189">
      <c r="A189" s="10">
        <v>14.0</v>
      </c>
      <c r="B189" s="11" t="s">
        <v>31</v>
      </c>
      <c r="C189" s="12">
        <f t="shared" si="11"/>
        <v>0</v>
      </c>
      <c r="D189" s="13"/>
      <c r="E189" s="12">
        <v>0.0</v>
      </c>
      <c r="F189" s="12">
        <v>0.0</v>
      </c>
      <c r="G189" s="12">
        <v>0.0</v>
      </c>
      <c r="H189" s="12">
        <v>0.0</v>
      </c>
      <c r="I189" s="12">
        <v>0.0</v>
      </c>
      <c r="J189" s="12">
        <v>0.0</v>
      </c>
      <c r="K189" s="12">
        <v>0.0</v>
      </c>
      <c r="L189" s="12">
        <v>0.0</v>
      </c>
    </row>
    <row r="190">
      <c r="A190" s="10">
        <v>15.0</v>
      </c>
      <c r="B190" s="11" t="s">
        <v>32</v>
      </c>
      <c r="C190" s="12">
        <f t="shared" si="11"/>
        <v>0</v>
      </c>
      <c r="D190" s="13"/>
      <c r="E190" s="12">
        <v>0.0</v>
      </c>
      <c r="F190" s="12">
        <v>0.0</v>
      </c>
      <c r="G190" s="12">
        <v>0.0</v>
      </c>
      <c r="H190" s="12">
        <v>0.0</v>
      </c>
      <c r="I190" s="12">
        <v>0.0</v>
      </c>
      <c r="J190" s="12">
        <v>0.0</v>
      </c>
      <c r="K190" s="12">
        <v>0.0</v>
      </c>
      <c r="L190" s="12">
        <v>0.0</v>
      </c>
    </row>
    <row r="191">
      <c r="A191" s="10">
        <v>16.0</v>
      </c>
      <c r="B191" s="14" t="s">
        <v>33</v>
      </c>
      <c r="C191" s="12">
        <f t="shared" si="11"/>
        <v>0</v>
      </c>
      <c r="D191" s="13"/>
      <c r="E191" s="12">
        <v>0.0</v>
      </c>
      <c r="F191" s="12">
        <v>0.0</v>
      </c>
      <c r="G191" s="12">
        <v>0.0</v>
      </c>
      <c r="H191" s="12">
        <v>0.0</v>
      </c>
      <c r="I191" s="12">
        <v>0.0</v>
      </c>
      <c r="J191" s="12">
        <v>0.0</v>
      </c>
      <c r="K191" s="12">
        <v>0.0</v>
      </c>
      <c r="L191" s="12">
        <v>0.0</v>
      </c>
    </row>
    <row r="192">
      <c r="A192" s="27">
        <v>17.0</v>
      </c>
      <c r="B192" s="29" t="s">
        <v>34</v>
      </c>
      <c r="C192" s="7">
        <f t="shared" si="11"/>
        <v>10</v>
      </c>
      <c r="D192" s="13"/>
      <c r="E192" s="7">
        <v>0.0</v>
      </c>
      <c r="F192" s="7">
        <v>10.0</v>
      </c>
      <c r="G192" s="7">
        <v>0.0</v>
      </c>
      <c r="H192" s="7">
        <v>0.0</v>
      </c>
      <c r="I192" s="7">
        <v>0.0</v>
      </c>
      <c r="J192" s="7">
        <v>0.0</v>
      </c>
      <c r="K192" s="7">
        <v>0.0</v>
      </c>
      <c r="L192" s="7">
        <v>0.0</v>
      </c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>
      <c r="A193" s="10">
        <v>18.0</v>
      </c>
      <c r="B193" s="14" t="s">
        <v>35</v>
      </c>
      <c r="C193" s="12">
        <f t="shared" si="11"/>
        <v>0</v>
      </c>
      <c r="D193" s="13"/>
      <c r="E193" s="12">
        <v>0.0</v>
      </c>
      <c r="F193" s="12">
        <v>0.0</v>
      </c>
      <c r="G193" s="12">
        <v>0.0</v>
      </c>
      <c r="H193" s="12">
        <v>0.0</v>
      </c>
      <c r="I193" s="12">
        <v>0.0</v>
      </c>
      <c r="J193" s="12">
        <v>0.0</v>
      </c>
      <c r="K193" s="12">
        <v>0.0</v>
      </c>
      <c r="L193" s="12">
        <v>0.0</v>
      </c>
    </row>
    <row r="194">
      <c r="A194" s="16">
        <v>19.0</v>
      </c>
      <c r="B194" s="11" t="s">
        <v>36</v>
      </c>
      <c r="C194" s="12">
        <f t="shared" si="11"/>
        <v>0</v>
      </c>
      <c r="D194" s="13"/>
      <c r="E194" s="12">
        <v>0.0</v>
      </c>
      <c r="F194" s="12">
        <v>0.0</v>
      </c>
      <c r="G194" s="12">
        <v>0.0</v>
      </c>
      <c r="H194" s="12">
        <v>0.0</v>
      </c>
      <c r="I194" s="12">
        <v>0.0</v>
      </c>
      <c r="J194" s="12">
        <v>0.0</v>
      </c>
      <c r="K194" s="12">
        <v>0.0</v>
      </c>
      <c r="L194" s="12">
        <v>0.0</v>
      </c>
    </row>
    <row r="195">
      <c r="A195" s="16">
        <v>20.0</v>
      </c>
      <c r="B195" s="14" t="s">
        <v>37</v>
      </c>
      <c r="C195" s="12">
        <f t="shared" si="11"/>
        <v>0</v>
      </c>
      <c r="D195" s="13"/>
      <c r="E195" s="12">
        <v>0.0</v>
      </c>
      <c r="F195" s="12">
        <v>0.0</v>
      </c>
      <c r="G195" s="12">
        <v>0.0</v>
      </c>
      <c r="H195" s="12">
        <v>0.0</v>
      </c>
      <c r="I195" s="12">
        <v>0.0</v>
      </c>
      <c r="J195" s="12">
        <v>0.0</v>
      </c>
      <c r="K195" s="12">
        <v>0.0</v>
      </c>
      <c r="L195" s="12">
        <v>0.0</v>
      </c>
    </row>
    <row r="196">
      <c r="A196" s="10">
        <v>21.0</v>
      </c>
      <c r="B196" s="11" t="s">
        <v>38</v>
      </c>
      <c r="C196" s="12">
        <f t="shared" si="11"/>
        <v>0</v>
      </c>
      <c r="D196" s="13"/>
      <c r="E196" s="12">
        <v>0.0</v>
      </c>
      <c r="F196" s="12">
        <v>0.0</v>
      </c>
      <c r="G196" s="12">
        <v>0.0</v>
      </c>
      <c r="H196" s="12">
        <v>0.0</v>
      </c>
      <c r="I196" s="12">
        <v>0.0</v>
      </c>
      <c r="J196" s="12">
        <v>0.0</v>
      </c>
      <c r="K196" s="12">
        <v>0.0</v>
      </c>
      <c r="L196" s="12">
        <v>0.0</v>
      </c>
    </row>
    <row r="197">
      <c r="A197" s="10">
        <v>22.0</v>
      </c>
      <c r="B197" s="11" t="s">
        <v>39</v>
      </c>
      <c r="C197" s="12">
        <f t="shared" si="11"/>
        <v>0</v>
      </c>
      <c r="D197" s="13"/>
      <c r="E197" s="12">
        <v>0.0</v>
      </c>
      <c r="F197" s="12">
        <v>0.0</v>
      </c>
      <c r="G197" s="12">
        <v>0.0</v>
      </c>
      <c r="H197" s="12">
        <v>0.0</v>
      </c>
      <c r="I197" s="12">
        <v>0.0</v>
      </c>
      <c r="J197" s="12">
        <v>0.0</v>
      </c>
      <c r="K197" s="12">
        <v>0.0</v>
      </c>
      <c r="L197" s="12">
        <v>0.0</v>
      </c>
    </row>
    <row r="198">
      <c r="A198" s="10">
        <v>23.0</v>
      </c>
      <c r="B198" s="29" t="s">
        <v>40</v>
      </c>
      <c r="C198" s="7">
        <f t="shared" si="11"/>
        <v>10</v>
      </c>
      <c r="D198" s="13"/>
      <c r="E198" s="12">
        <v>0.0</v>
      </c>
      <c r="F198" s="12">
        <v>0.0</v>
      </c>
      <c r="G198" s="12">
        <v>0.0</v>
      </c>
      <c r="H198" s="7">
        <v>10.0</v>
      </c>
      <c r="I198" s="12">
        <v>0.0</v>
      </c>
      <c r="J198" s="12">
        <v>0.0</v>
      </c>
      <c r="K198" s="12">
        <v>0.0</v>
      </c>
      <c r="L198" s="12">
        <v>0.0</v>
      </c>
    </row>
    <row r="199">
      <c r="A199" s="10">
        <v>24.0</v>
      </c>
      <c r="B199" s="14" t="s">
        <v>42</v>
      </c>
      <c r="C199" s="12">
        <f t="shared" si="11"/>
        <v>0</v>
      </c>
      <c r="D199" s="13"/>
      <c r="E199" s="12">
        <v>0.0</v>
      </c>
      <c r="F199" s="12">
        <v>0.0</v>
      </c>
      <c r="G199" s="12">
        <v>0.0</v>
      </c>
      <c r="H199" s="12">
        <v>0.0</v>
      </c>
      <c r="I199" s="12">
        <v>0.0</v>
      </c>
      <c r="J199" s="12">
        <v>0.0</v>
      </c>
      <c r="K199" s="12">
        <v>0.0</v>
      </c>
      <c r="L199" s="12">
        <v>0.0</v>
      </c>
    </row>
    <row r="200">
      <c r="A200" s="10">
        <v>25.0</v>
      </c>
      <c r="B200" s="14" t="s">
        <v>43</v>
      </c>
      <c r="C200" s="12">
        <f t="shared" si="11"/>
        <v>0</v>
      </c>
      <c r="D200" s="13"/>
      <c r="E200" s="12">
        <v>0.0</v>
      </c>
      <c r="F200" s="12">
        <v>0.0</v>
      </c>
      <c r="G200" s="12">
        <v>0.0</v>
      </c>
      <c r="H200" s="12">
        <v>0.0</v>
      </c>
      <c r="I200" s="12">
        <v>0.0</v>
      </c>
      <c r="J200" s="12">
        <v>0.0</v>
      </c>
      <c r="K200" s="12">
        <v>0.0</v>
      </c>
      <c r="L200" s="12">
        <v>0.0</v>
      </c>
    </row>
    <row r="201">
      <c r="A201" s="10">
        <v>26.0</v>
      </c>
      <c r="B201" s="11" t="s">
        <v>44</v>
      </c>
      <c r="C201" s="12">
        <f t="shared" si="11"/>
        <v>0</v>
      </c>
      <c r="D201" s="13"/>
      <c r="E201" s="12">
        <v>0.0</v>
      </c>
      <c r="F201" s="12">
        <v>0.0</v>
      </c>
      <c r="G201" s="12">
        <v>0.0</v>
      </c>
      <c r="H201" s="12">
        <v>0.0</v>
      </c>
      <c r="I201" s="12">
        <v>0.0</v>
      </c>
      <c r="J201" s="12">
        <v>0.0</v>
      </c>
      <c r="K201" s="12">
        <v>0.0</v>
      </c>
      <c r="L201" s="12">
        <v>0.0</v>
      </c>
    </row>
    <row r="202">
      <c r="A202" s="10">
        <v>27.0</v>
      </c>
      <c r="B202" s="11" t="s">
        <v>45</v>
      </c>
      <c r="C202" s="12">
        <f t="shared" si="11"/>
        <v>0</v>
      </c>
      <c r="D202" s="13"/>
      <c r="E202" s="12">
        <v>0.0</v>
      </c>
      <c r="F202" s="12">
        <v>0.0</v>
      </c>
      <c r="G202" s="12">
        <v>0.0</v>
      </c>
      <c r="H202" s="12">
        <v>0.0</v>
      </c>
      <c r="I202" s="12">
        <v>0.0</v>
      </c>
      <c r="J202" s="12">
        <v>0.0</v>
      </c>
      <c r="K202" s="12">
        <v>0.0</v>
      </c>
      <c r="L202" s="12">
        <v>0.0</v>
      </c>
    </row>
    <row r="203">
      <c r="A203" s="10">
        <v>28.0</v>
      </c>
      <c r="B203" s="17" t="s">
        <v>46</v>
      </c>
      <c r="C203" s="12">
        <f t="shared" si="11"/>
        <v>0</v>
      </c>
      <c r="D203" s="13"/>
      <c r="E203" s="12">
        <v>0.0</v>
      </c>
      <c r="F203" s="12">
        <v>0.0</v>
      </c>
      <c r="G203" s="12">
        <v>0.0</v>
      </c>
      <c r="H203" s="12">
        <v>0.0</v>
      </c>
      <c r="I203" s="12">
        <v>0.0</v>
      </c>
      <c r="J203" s="12">
        <v>0.0</v>
      </c>
      <c r="K203" s="12">
        <v>0.0</v>
      </c>
      <c r="L203" s="12">
        <v>0.0</v>
      </c>
    </row>
    <row r="204">
      <c r="A204" s="10">
        <v>29.0</v>
      </c>
      <c r="B204" s="11" t="s">
        <v>15</v>
      </c>
      <c r="C204" s="12">
        <f t="shared" si="11"/>
        <v>0</v>
      </c>
      <c r="D204" s="13"/>
      <c r="E204" s="12">
        <v>0.0</v>
      </c>
      <c r="F204" s="12">
        <v>0.0</v>
      </c>
      <c r="G204" s="12">
        <v>0.0</v>
      </c>
      <c r="H204" s="12">
        <v>0.0</v>
      </c>
      <c r="I204" s="12">
        <v>0.0</v>
      </c>
      <c r="J204" s="12">
        <v>0.0</v>
      </c>
      <c r="K204" s="12">
        <v>0.0</v>
      </c>
      <c r="L204" s="12">
        <v>0.0</v>
      </c>
    </row>
    <row r="205">
      <c r="A205" s="10">
        <v>30.0</v>
      </c>
      <c r="B205" s="11" t="s">
        <v>47</v>
      </c>
      <c r="C205" s="12">
        <f t="shared" si="11"/>
        <v>0</v>
      </c>
      <c r="D205" s="18"/>
      <c r="E205" s="12">
        <v>0.0</v>
      </c>
      <c r="F205" s="12">
        <v>0.0</v>
      </c>
      <c r="G205" s="12">
        <v>0.0</v>
      </c>
      <c r="H205" s="12">
        <v>0.0</v>
      </c>
      <c r="I205" s="12">
        <v>0.0</v>
      </c>
      <c r="J205" s="12">
        <v>0.0</v>
      </c>
      <c r="K205" s="12">
        <v>0.0</v>
      </c>
      <c r="L205" s="12">
        <v>0.0</v>
      </c>
    </row>
    <row r="206">
      <c r="A206" s="30" t="s">
        <v>72</v>
      </c>
      <c r="B206" s="3"/>
      <c r="C206" s="20">
        <f>SUM(C176:C205)</f>
        <v>67</v>
      </c>
      <c r="D206" s="21"/>
      <c r="E206" s="20">
        <f t="shared" ref="E206:L206" si="12">SUM(E176:E205)</f>
        <v>15</v>
      </c>
      <c r="F206" s="20">
        <f t="shared" si="12"/>
        <v>34</v>
      </c>
      <c r="G206" s="20">
        <f t="shared" si="12"/>
        <v>0</v>
      </c>
      <c r="H206" s="44">
        <f t="shared" si="12"/>
        <v>10</v>
      </c>
      <c r="I206" s="20">
        <f t="shared" si="12"/>
        <v>8</v>
      </c>
      <c r="J206" s="20">
        <f t="shared" si="12"/>
        <v>0</v>
      </c>
      <c r="K206" s="20">
        <f t="shared" si="12"/>
        <v>0</v>
      </c>
      <c r="L206" s="20">
        <f t="shared" si="12"/>
        <v>0</v>
      </c>
    </row>
    <row r="207">
      <c r="A207" s="45" t="s">
        <v>73</v>
      </c>
      <c r="B207" s="2"/>
      <c r="C207" s="3"/>
      <c r="D207" s="21"/>
      <c r="E207" s="20">
        <f>C172+C206</f>
        <v>192</v>
      </c>
      <c r="F207" s="46"/>
      <c r="G207" s="2"/>
      <c r="H207" s="2"/>
      <c r="I207" s="2"/>
      <c r="J207" s="2"/>
      <c r="K207" s="2"/>
      <c r="L207" s="3"/>
    </row>
    <row r="208">
      <c r="A208" s="2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/>
    </row>
    <row r="209">
      <c r="A209" s="35" t="s">
        <v>74</v>
      </c>
      <c r="B209" s="2"/>
      <c r="C209" s="3"/>
      <c r="D209" s="47"/>
      <c r="E209" s="6" t="s">
        <v>75</v>
      </c>
      <c r="F209" s="2"/>
      <c r="G209" s="2"/>
      <c r="H209" s="2"/>
      <c r="I209" s="2"/>
      <c r="J209" s="2"/>
      <c r="K209" s="2"/>
      <c r="L209" s="3"/>
    </row>
    <row r="210">
      <c r="A210" s="22" t="s">
        <v>5</v>
      </c>
      <c r="B210" s="22" t="s">
        <v>76</v>
      </c>
      <c r="C210" s="22" t="s">
        <v>7</v>
      </c>
      <c r="D210" s="48"/>
      <c r="E210" s="9" t="s">
        <v>8</v>
      </c>
      <c r="F210" s="9" t="s">
        <v>9</v>
      </c>
      <c r="G210" s="9" t="s">
        <v>10</v>
      </c>
      <c r="H210" s="9" t="s">
        <v>11</v>
      </c>
      <c r="I210" s="9" t="s">
        <v>12</v>
      </c>
      <c r="J210" s="9" t="s">
        <v>13</v>
      </c>
      <c r="K210" s="9" t="s">
        <v>14</v>
      </c>
      <c r="L210" s="9" t="s">
        <v>15</v>
      </c>
    </row>
    <row r="211">
      <c r="A211" s="49">
        <v>1.0</v>
      </c>
      <c r="B211" s="49" t="s">
        <v>29</v>
      </c>
      <c r="C211" s="50">
        <f t="shared" ref="C211:C213" si="13">E211+F211+G211+H211+I211+J211+K211+L211</f>
        <v>1</v>
      </c>
      <c r="D211" s="13"/>
      <c r="E211" s="49">
        <v>0.0</v>
      </c>
      <c r="F211" s="49">
        <v>1.0</v>
      </c>
      <c r="G211" s="49">
        <v>0.0</v>
      </c>
      <c r="H211" s="49">
        <v>0.0</v>
      </c>
      <c r="I211" s="49">
        <v>0.0</v>
      </c>
      <c r="J211" s="49">
        <v>0.0</v>
      </c>
      <c r="K211" s="49">
        <v>0.0</v>
      </c>
      <c r="L211" s="49">
        <v>0.0</v>
      </c>
    </row>
    <row r="212">
      <c r="A212" s="49">
        <v>2.0</v>
      </c>
      <c r="B212" s="49" t="s">
        <v>34</v>
      </c>
      <c r="C212" s="50">
        <f t="shared" si="13"/>
        <v>3</v>
      </c>
      <c r="D212" s="13"/>
      <c r="E212" s="49">
        <v>0.0</v>
      </c>
      <c r="F212" s="49">
        <v>3.0</v>
      </c>
      <c r="G212" s="49">
        <v>0.0</v>
      </c>
      <c r="H212" s="49">
        <v>0.0</v>
      </c>
      <c r="I212" s="49">
        <v>0.0</v>
      </c>
      <c r="J212" s="49">
        <v>0.0</v>
      </c>
      <c r="K212" s="49">
        <v>0.0</v>
      </c>
      <c r="L212" s="49">
        <v>0.0</v>
      </c>
    </row>
    <row r="213">
      <c r="A213" s="49">
        <v>3.0</v>
      </c>
      <c r="B213" s="49" t="s">
        <v>14</v>
      </c>
      <c r="C213" s="50">
        <f t="shared" si="13"/>
        <v>0</v>
      </c>
      <c r="D213" s="13"/>
      <c r="E213" s="49">
        <v>0.0</v>
      </c>
      <c r="F213" s="49">
        <v>0.0</v>
      </c>
      <c r="G213" s="49">
        <v>0.0</v>
      </c>
      <c r="H213" s="49">
        <v>0.0</v>
      </c>
      <c r="I213" s="49">
        <v>0.0</v>
      </c>
      <c r="J213" s="49">
        <v>0.0</v>
      </c>
      <c r="K213" s="49">
        <v>0.0</v>
      </c>
      <c r="L213" s="49">
        <v>0.0</v>
      </c>
    </row>
    <row r="214">
      <c r="A214" s="35" t="s">
        <v>77</v>
      </c>
      <c r="B214" s="3"/>
      <c r="C214" s="20">
        <f>SUM(C211:C213)</f>
        <v>4</v>
      </c>
      <c r="D214" s="21"/>
      <c r="E214" s="20">
        <f t="shared" ref="E214:L214" si="14">SUM(E211:E213)</f>
        <v>0</v>
      </c>
      <c r="F214" s="20">
        <f t="shared" si="14"/>
        <v>4</v>
      </c>
      <c r="G214" s="20">
        <f t="shared" si="14"/>
        <v>0</v>
      </c>
      <c r="H214" s="20">
        <f t="shared" si="14"/>
        <v>0</v>
      </c>
      <c r="I214" s="20">
        <f t="shared" si="14"/>
        <v>0</v>
      </c>
      <c r="J214" s="20">
        <f t="shared" si="14"/>
        <v>0</v>
      </c>
      <c r="K214" s="20">
        <f t="shared" si="14"/>
        <v>0</v>
      </c>
      <c r="L214" s="20">
        <f t="shared" si="14"/>
        <v>0</v>
      </c>
    </row>
    <row r="215">
      <c r="A215" s="2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3"/>
    </row>
    <row r="216">
      <c r="A216" s="39" t="s">
        <v>78</v>
      </c>
      <c r="B216" s="2"/>
      <c r="C216" s="3"/>
      <c r="D216" s="51"/>
      <c r="E216" s="26" t="s">
        <v>79</v>
      </c>
      <c r="F216" s="2"/>
      <c r="G216" s="2"/>
      <c r="H216" s="2"/>
      <c r="I216" s="2"/>
      <c r="J216" s="2"/>
      <c r="K216" s="2"/>
      <c r="L216" s="3"/>
    </row>
    <row r="217">
      <c r="A217" s="22" t="s">
        <v>5</v>
      </c>
      <c r="B217" s="22" t="s">
        <v>76</v>
      </c>
      <c r="C217" s="22" t="s">
        <v>7</v>
      </c>
      <c r="D217" s="48"/>
      <c r="E217" s="9" t="s">
        <v>8</v>
      </c>
      <c r="F217" s="9" t="s">
        <v>9</v>
      </c>
      <c r="G217" s="9" t="s">
        <v>10</v>
      </c>
      <c r="H217" s="9" t="s">
        <v>11</v>
      </c>
      <c r="I217" s="9" t="s">
        <v>12</v>
      </c>
      <c r="J217" s="9" t="s">
        <v>13</v>
      </c>
      <c r="K217" s="9" t="s">
        <v>14</v>
      </c>
      <c r="L217" s="9" t="s">
        <v>15</v>
      </c>
    </row>
    <row r="218">
      <c r="A218" s="49">
        <v>1.0</v>
      </c>
      <c r="B218" s="49" t="s">
        <v>29</v>
      </c>
      <c r="C218" s="50">
        <f t="shared" ref="C218:C220" si="15">E218+F218+G218+H218+I218+J218+K218+L218</f>
        <v>1</v>
      </c>
      <c r="D218" s="13"/>
      <c r="E218" s="49">
        <v>0.0</v>
      </c>
      <c r="F218" s="49">
        <v>1.0</v>
      </c>
      <c r="G218" s="49">
        <v>0.0</v>
      </c>
      <c r="H218" s="49">
        <v>0.0</v>
      </c>
      <c r="I218" s="49">
        <v>0.0</v>
      </c>
      <c r="J218" s="49">
        <v>0.0</v>
      </c>
      <c r="K218" s="49">
        <v>0.0</v>
      </c>
      <c r="L218" s="49">
        <v>0.0</v>
      </c>
    </row>
    <row r="219">
      <c r="A219" s="49">
        <v>2.0</v>
      </c>
      <c r="B219" s="49" t="s">
        <v>34</v>
      </c>
      <c r="C219" s="50">
        <f t="shared" si="15"/>
        <v>3</v>
      </c>
      <c r="D219" s="13"/>
      <c r="E219" s="49">
        <v>0.0</v>
      </c>
      <c r="F219" s="49">
        <v>3.0</v>
      </c>
      <c r="G219" s="49">
        <v>0.0</v>
      </c>
      <c r="H219" s="49">
        <v>0.0</v>
      </c>
      <c r="I219" s="49">
        <v>0.0</v>
      </c>
      <c r="J219" s="49">
        <v>0.0</v>
      </c>
      <c r="K219" s="49">
        <v>0.0</v>
      </c>
      <c r="L219" s="49">
        <v>0.0</v>
      </c>
    </row>
    <row r="220">
      <c r="A220" s="49">
        <v>3.0</v>
      </c>
      <c r="B220" s="49" t="s">
        <v>14</v>
      </c>
      <c r="C220" s="50">
        <f t="shared" si="15"/>
        <v>0</v>
      </c>
      <c r="D220" s="13"/>
      <c r="E220" s="49">
        <v>0.0</v>
      </c>
      <c r="F220" s="49">
        <v>0.0</v>
      </c>
      <c r="G220" s="49">
        <v>0.0</v>
      </c>
      <c r="H220" s="49">
        <v>0.0</v>
      </c>
      <c r="I220" s="49">
        <v>0.0</v>
      </c>
      <c r="J220" s="49">
        <v>0.0</v>
      </c>
      <c r="K220" s="49">
        <v>0.0</v>
      </c>
      <c r="L220" s="49">
        <v>0.0</v>
      </c>
    </row>
    <row r="221">
      <c r="A221" s="30" t="s">
        <v>80</v>
      </c>
      <c r="B221" s="3"/>
      <c r="C221" s="20">
        <f>SUM(C218:C220)</f>
        <v>4</v>
      </c>
      <c r="D221" s="21"/>
      <c r="E221" s="20">
        <f>SUM(E218:E220)</f>
        <v>0</v>
      </c>
      <c r="F221" s="22">
        <v>0.0</v>
      </c>
      <c r="G221" s="20">
        <f t="shared" ref="G221:L221" si="16">SUM(G218:G220)</f>
        <v>0</v>
      </c>
      <c r="H221" s="20">
        <f t="shared" si="16"/>
        <v>0</v>
      </c>
      <c r="I221" s="20">
        <f t="shared" si="16"/>
        <v>0</v>
      </c>
      <c r="J221" s="20">
        <f t="shared" si="16"/>
        <v>0</v>
      </c>
      <c r="K221" s="20">
        <f t="shared" si="16"/>
        <v>0</v>
      </c>
      <c r="L221" s="20">
        <f t="shared" si="16"/>
        <v>0</v>
      </c>
    </row>
    <row r="222">
      <c r="A222" s="45" t="s">
        <v>81</v>
      </c>
      <c r="B222" s="2"/>
      <c r="C222" s="3"/>
      <c r="D222" s="21"/>
      <c r="E222" s="20">
        <f>C214+C221</f>
        <v>8</v>
      </c>
      <c r="F222" s="46"/>
      <c r="G222" s="2"/>
      <c r="H222" s="2"/>
      <c r="I222" s="2"/>
      <c r="J222" s="2"/>
      <c r="K222" s="2"/>
      <c r="L222" s="3"/>
    </row>
    <row r="223">
      <c r="A223" s="2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3"/>
    </row>
    <row r="224">
      <c r="A224" s="35" t="s">
        <v>82</v>
      </c>
      <c r="B224" s="2"/>
      <c r="C224" s="3"/>
      <c r="D224" s="47"/>
      <c r="E224" s="6" t="s">
        <v>83</v>
      </c>
      <c r="F224" s="2"/>
      <c r="G224" s="2"/>
      <c r="H224" s="2"/>
      <c r="I224" s="2"/>
      <c r="J224" s="2"/>
      <c r="K224" s="2"/>
      <c r="L224" s="3"/>
    </row>
    <row r="225" ht="18.0" customHeight="1">
      <c r="A225" s="22" t="s">
        <v>5</v>
      </c>
      <c r="B225" s="22" t="s">
        <v>84</v>
      </c>
      <c r="C225" s="22" t="s">
        <v>7</v>
      </c>
      <c r="D225" s="48"/>
      <c r="E225" s="9" t="s">
        <v>8</v>
      </c>
      <c r="F225" s="9" t="s">
        <v>9</v>
      </c>
      <c r="G225" s="9" t="s">
        <v>10</v>
      </c>
      <c r="H225" s="9" t="s">
        <v>11</v>
      </c>
      <c r="I225" s="9" t="s">
        <v>12</v>
      </c>
      <c r="J225" s="9" t="s">
        <v>13</v>
      </c>
      <c r="K225" s="9" t="s">
        <v>14</v>
      </c>
      <c r="L225" s="9" t="s">
        <v>15</v>
      </c>
    </row>
    <row r="226">
      <c r="A226" s="49">
        <v>1.0</v>
      </c>
      <c r="B226" s="49" t="s">
        <v>14</v>
      </c>
      <c r="C226" s="50">
        <f t="shared" ref="C226:C228" si="17">E226+F226+G226+H226+I226+J226+K226+L226</f>
        <v>0</v>
      </c>
      <c r="D226" s="13"/>
      <c r="E226" s="49">
        <v>0.0</v>
      </c>
      <c r="F226" s="49">
        <v>0.0</v>
      </c>
      <c r="G226" s="49">
        <v>0.0</v>
      </c>
      <c r="H226" s="49">
        <v>0.0</v>
      </c>
      <c r="I226" s="49">
        <v>0.0</v>
      </c>
      <c r="J226" s="49">
        <v>0.0</v>
      </c>
      <c r="K226" s="49">
        <v>0.0</v>
      </c>
      <c r="L226" s="49">
        <v>0.0</v>
      </c>
    </row>
    <row r="227">
      <c r="A227" s="49">
        <v>2.0</v>
      </c>
      <c r="B227" s="49" t="s">
        <v>15</v>
      </c>
      <c r="C227" s="50">
        <f t="shared" si="17"/>
        <v>0</v>
      </c>
      <c r="D227" s="13"/>
      <c r="E227" s="49">
        <v>0.0</v>
      </c>
      <c r="F227" s="49">
        <v>0.0</v>
      </c>
      <c r="G227" s="49">
        <v>0.0</v>
      </c>
      <c r="H227" s="49">
        <v>0.0</v>
      </c>
      <c r="I227" s="49">
        <v>0.0</v>
      </c>
      <c r="J227" s="49">
        <v>0.0</v>
      </c>
      <c r="K227" s="49">
        <v>0.0</v>
      </c>
      <c r="L227" s="49">
        <v>0.0</v>
      </c>
    </row>
    <row r="228">
      <c r="A228" s="49">
        <v>3.0</v>
      </c>
      <c r="B228" s="49" t="s">
        <v>47</v>
      </c>
      <c r="C228" s="50">
        <f t="shared" si="17"/>
        <v>0</v>
      </c>
      <c r="D228" s="13"/>
      <c r="E228" s="49">
        <v>0.0</v>
      </c>
      <c r="F228" s="49">
        <v>0.0</v>
      </c>
      <c r="G228" s="49">
        <v>0.0</v>
      </c>
      <c r="H228" s="49">
        <v>0.0</v>
      </c>
      <c r="I228" s="49">
        <v>0.0</v>
      </c>
      <c r="J228" s="49">
        <v>0.0</v>
      </c>
      <c r="K228" s="49">
        <v>0.0</v>
      </c>
      <c r="L228" s="49">
        <v>0.0</v>
      </c>
    </row>
    <row r="229">
      <c r="A229" s="19" t="s">
        <v>85</v>
      </c>
      <c r="B229" s="3"/>
      <c r="C229" s="20">
        <f>SUM(C226:C228)</f>
        <v>0</v>
      </c>
      <c r="D229" s="21"/>
      <c r="E229" s="20">
        <f t="shared" ref="E229:L229" si="18">SUM(E226:E228)</f>
        <v>0</v>
      </c>
      <c r="F229" s="20">
        <f t="shared" si="18"/>
        <v>0</v>
      </c>
      <c r="G229" s="20">
        <f t="shared" si="18"/>
        <v>0</v>
      </c>
      <c r="H229" s="20">
        <f t="shared" si="18"/>
        <v>0</v>
      </c>
      <c r="I229" s="20">
        <f t="shared" si="18"/>
        <v>0</v>
      </c>
      <c r="J229" s="20">
        <f t="shared" si="18"/>
        <v>0</v>
      </c>
      <c r="K229" s="20">
        <f t="shared" si="18"/>
        <v>0</v>
      </c>
      <c r="L229" s="20">
        <f t="shared" si="18"/>
        <v>0</v>
      </c>
    </row>
    <row r="230">
      <c r="A230" s="2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3"/>
    </row>
    <row r="231">
      <c r="A231" s="39" t="s">
        <v>86</v>
      </c>
      <c r="B231" s="2"/>
      <c r="C231" s="3"/>
      <c r="D231" s="51"/>
      <c r="E231" s="26" t="s">
        <v>87</v>
      </c>
      <c r="F231" s="2"/>
      <c r="G231" s="2"/>
      <c r="H231" s="2"/>
      <c r="I231" s="2"/>
      <c r="J231" s="2"/>
      <c r="K231" s="2"/>
      <c r="L231" s="3"/>
    </row>
    <row r="232">
      <c r="A232" s="22" t="s">
        <v>5</v>
      </c>
      <c r="B232" s="22" t="s">
        <v>84</v>
      </c>
      <c r="C232" s="22" t="s">
        <v>7</v>
      </c>
      <c r="D232" s="48"/>
      <c r="E232" s="9" t="s">
        <v>8</v>
      </c>
      <c r="F232" s="9" t="s">
        <v>9</v>
      </c>
      <c r="G232" s="9" t="s">
        <v>10</v>
      </c>
      <c r="H232" s="9" t="s">
        <v>11</v>
      </c>
      <c r="I232" s="9" t="s">
        <v>12</v>
      </c>
      <c r="J232" s="9" t="s">
        <v>13</v>
      </c>
      <c r="K232" s="9" t="s">
        <v>14</v>
      </c>
      <c r="L232" s="9" t="s">
        <v>15</v>
      </c>
    </row>
    <row r="233">
      <c r="A233" s="49">
        <v>1.0</v>
      </c>
      <c r="B233" s="49" t="s">
        <v>29</v>
      </c>
      <c r="C233" s="50">
        <f t="shared" ref="C233:C235" si="19">E233+F233+G233+H233+I233+J233+K233+L233</f>
        <v>0</v>
      </c>
      <c r="D233" s="13"/>
      <c r="E233" s="49">
        <v>0.0</v>
      </c>
      <c r="F233" s="49">
        <v>0.0</v>
      </c>
      <c r="G233" s="49">
        <v>0.0</v>
      </c>
      <c r="H233" s="49">
        <v>0.0</v>
      </c>
      <c r="I233" s="49">
        <v>0.0</v>
      </c>
      <c r="J233" s="49">
        <v>0.0</v>
      </c>
      <c r="K233" s="49">
        <v>0.0</v>
      </c>
      <c r="L233" s="49">
        <v>0.0</v>
      </c>
    </row>
    <row r="234">
      <c r="A234" s="49">
        <v>2.0</v>
      </c>
      <c r="B234" s="49" t="s">
        <v>34</v>
      </c>
      <c r="C234" s="50">
        <f t="shared" si="19"/>
        <v>0</v>
      </c>
      <c r="D234" s="13"/>
      <c r="E234" s="49">
        <v>0.0</v>
      </c>
      <c r="F234" s="49">
        <v>0.0</v>
      </c>
      <c r="G234" s="49">
        <v>0.0</v>
      </c>
      <c r="H234" s="49">
        <v>0.0</v>
      </c>
      <c r="I234" s="49">
        <v>0.0</v>
      </c>
      <c r="J234" s="49">
        <v>0.0</v>
      </c>
      <c r="K234" s="49">
        <v>0.0</v>
      </c>
      <c r="L234" s="49">
        <v>0.0</v>
      </c>
    </row>
    <row r="235">
      <c r="A235" s="49">
        <v>3.0</v>
      </c>
      <c r="B235" s="49" t="s">
        <v>14</v>
      </c>
      <c r="C235" s="50">
        <f t="shared" si="19"/>
        <v>0</v>
      </c>
      <c r="D235" s="13"/>
      <c r="E235" s="49">
        <v>0.0</v>
      </c>
      <c r="F235" s="49">
        <v>0.0</v>
      </c>
      <c r="G235" s="49">
        <v>0.0</v>
      </c>
      <c r="H235" s="49">
        <v>0.0</v>
      </c>
      <c r="I235" s="49">
        <v>0.0</v>
      </c>
      <c r="J235" s="49">
        <v>0.0</v>
      </c>
      <c r="K235" s="49">
        <v>0.0</v>
      </c>
      <c r="L235" s="49">
        <v>0.0</v>
      </c>
    </row>
    <row r="236">
      <c r="A236" s="30" t="s">
        <v>88</v>
      </c>
      <c r="B236" s="3"/>
      <c r="C236" s="20">
        <f>SUM(C233:C235)</f>
        <v>0</v>
      </c>
      <c r="D236" s="21"/>
      <c r="E236" s="20">
        <f t="shared" ref="E236:L236" si="20">SUM(E233:E235)</f>
        <v>0</v>
      </c>
      <c r="F236" s="20">
        <f t="shared" si="20"/>
        <v>0</v>
      </c>
      <c r="G236" s="20">
        <f t="shared" si="20"/>
        <v>0</v>
      </c>
      <c r="H236" s="20">
        <f t="shared" si="20"/>
        <v>0</v>
      </c>
      <c r="I236" s="20">
        <f t="shared" si="20"/>
        <v>0</v>
      </c>
      <c r="J236" s="20">
        <f t="shared" si="20"/>
        <v>0</v>
      </c>
      <c r="K236" s="20">
        <f t="shared" si="20"/>
        <v>0</v>
      </c>
      <c r="L236" s="20">
        <f t="shared" si="20"/>
        <v>0</v>
      </c>
    </row>
    <row r="237">
      <c r="A237" s="45" t="s">
        <v>89</v>
      </c>
      <c r="B237" s="2"/>
      <c r="C237" s="3"/>
      <c r="D237" s="21"/>
      <c r="E237" s="20">
        <f>C229+C236</f>
        <v>0</v>
      </c>
      <c r="F237" s="46"/>
      <c r="G237" s="2"/>
      <c r="H237" s="2"/>
      <c r="I237" s="2"/>
      <c r="J237" s="2"/>
      <c r="K237" s="2"/>
      <c r="L237" s="3"/>
    </row>
    <row r="239">
      <c r="A239" s="35" t="s">
        <v>90</v>
      </c>
      <c r="B239" s="2"/>
      <c r="C239" s="3"/>
      <c r="D239" s="47"/>
      <c r="E239" s="6" t="s">
        <v>91</v>
      </c>
      <c r="F239" s="2"/>
      <c r="G239" s="2"/>
      <c r="H239" s="2"/>
      <c r="I239" s="2"/>
      <c r="J239" s="2"/>
      <c r="K239" s="2"/>
      <c r="L239" s="3"/>
    </row>
    <row r="240" ht="21.0" customHeight="1">
      <c r="A240" s="22" t="s">
        <v>5</v>
      </c>
      <c r="B240" s="22" t="s">
        <v>92</v>
      </c>
      <c r="C240" s="22" t="s">
        <v>7</v>
      </c>
      <c r="D240" s="48"/>
      <c r="E240" s="9" t="s">
        <v>8</v>
      </c>
      <c r="F240" s="9" t="s">
        <v>9</v>
      </c>
      <c r="G240" s="9" t="s">
        <v>10</v>
      </c>
      <c r="H240" s="9" t="s">
        <v>11</v>
      </c>
      <c r="I240" s="9" t="s">
        <v>12</v>
      </c>
      <c r="J240" s="9" t="s">
        <v>13</v>
      </c>
      <c r="K240" s="9" t="s">
        <v>14</v>
      </c>
      <c r="L240" s="9" t="s">
        <v>15</v>
      </c>
    </row>
    <row r="241">
      <c r="A241" s="22">
        <v>1.0</v>
      </c>
      <c r="B241" s="22" t="s">
        <v>20</v>
      </c>
      <c r="C241" s="20">
        <f t="shared" ref="C241:C243" si="21">E241+F241+G241+H241+I241+J241+K241+L241</f>
        <v>8</v>
      </c>
      <c r="D241" s="13"/>
      <c r="E241" s="22">
        <v>8.0</v>
      </c>
      <c r="F241" s="22">
        <v>0.0</v>
      </c>
      <c r="G241" s="22">
        <v>0.0</v>
      </c>
      <c r="H241" s="22">
        <v>0.0</v>
      </c>
      <c r="I241" s="22">
        <v>0.0</v>
      </c>
      <c r="J241" s="22">
        <v>0.0</v>
      </c>
      <c r="K241" s="22">
        <v>0.0</v>
      </c>
      <c r="L241" s="22">
        <v>0.0</v>
      </c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>
      <c r="A242" s="49">
        <v>2.0</v>
      </c>
      <c r="B242" s="49" t="s">
        <v>14</v>
      </c>
      <c r="C242" s="50">
        <f t="shared" si="21"/>
        <v>0</v>
      </c>
      <c r="D242" s="13"/>
      <c r="E242" s="49">
        <v>0.0</v>
      </c>
      <c r="F242" s="49">
        <v>0.0</v>
      </c>
      <c r="G242" s="49">
        <v>0.0</v>
      </c>
      <c r="H242" s="49">
        <v>0.0</v>
      </c>
      <c r="I242" s="49">
        <v>0.0</v>
      </c>
      <c r="J242" s="49">
        <v>0.0</v>
      </c>
      <c r="K242" s="49">
        <v>0.0</v>
      </c>
      <c r="L242" s="49">
        <v>0.0</v>
      </c>
      <c r="N242" s="15" t="s">
        <v>0</v>
      </c>
    </row>
    <row r="243">
      <c r="A243" s="49">
        <v>3.0</v>
      </c>
      <c r="B243" s="49" t="s">
        <v>15</v>
      </c>
      <c r="C243" s="50">
        <f t="shared" si="21"/>
        <v>0</v>
      </c>
      <c r="D243" s="13"/>
      <c r="E243" s="49">
        <v>0.0</v>
      </c>
      <c r="F243" s="49">
        <v>0.0</v>
      </c>
      <c r="G243" s="49">
        <v>0.0</v>
      </c>
      <c r="H243" s="49">
        <v>0.0</v>
      </c>
      <c r="I243" s="49">
        <v>0.0</v>
      </c>
      <c r="J243" s="49">
        <v>0.0</v>
      </c>
      <c r="K243" s="49">
        <v>0.0</v>
      </c>
      <c r="L243" s="49">
        <v>0.0</v>
      </c>
    </row>
    <row r="244">
      <c r="A244" s="19" t="s">
        <v>93</v>
      </c>
      <c r="B244" s="3"/>
      <c r="C244" s="20">
        <f>SUM(C241:C243)</f>
        <v>8</v>
      </c>
      <c r="D244" s="21"/>
      <c r="E244" s="20">
        <f t="shared" ref="E244:L244" si="22">SUM(E241:E243)</f>
        <v>8</v>
      </c>
      <c r="F244" s="20">
        <f t="shared" si="22"/>
        <v>0</v>
      </c>
      <c r="G244" s="20">
        <f t="shared" si="22"/>
        <v>0</v>
      </c>
      <c r="H244" s="20">
        <f t="shared" si="22"/>
        <v>0</v>
      </c>
      <c r="I244" s="20">
        <f t="shared" si="22"/>
        <v>0</v>
      </c>
      <c r="J244" s="20">
        <f t="shared" si="22"/>
        <v>0</v>
      </c>
      <c r="K244" s="20">
        <f t="shared" si="22"/>
        <v>0</v>
      </c>
      <c r="L244" s="20">
        <f t="shared" si="22"/>
        <v>0</v>
      </c>
    </row>
    <row r="245">
      <c r="A245" s="2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3"/>
    </row>
    <row r="246">
      <c r="A246" s="39" t="s">
        <v>94</v>
      </c>
      <c r="B246" s="2"/>
      <c r="C246" s="3"/>
      <c r="D246" s="51"/>
      <c r="E246" s="26" t="s">
        <v>95</v>
      </c>
      <c r="F246" s="2"/>
      <c r="G246" s="2"/>
      <c r="H246" s="2"/>
      <c r="I246" s="2"/>
      <c r="J246" s="2"/>
      <c r="K246" s="2"/>
      <c r="L246" s="3"/>
    </row>
    <row r="247" ht="20.25" customHeight="1">
      <c r="A247" s="52" t="s">
        <v>5</v>
      </c>
      <c r="B247" s="22" t="s">
        <v>92</v>
      </c>
      <c r="C247" s="22" t="s">
        <v>7</v>
      </c>
      <c r="D247" s="48"/>
      <c r="E247" s="9" t="s">
        <v>8</v>
      </c>
      <c r="F247" s="9" t="s">
        <v>9</v>
      </c>
      <c r="G247" s="9" t="s">
        <v>10</v>
      </c>
      <c r="H247" s="9" t="s">
        <v>11</v>
      </c>
      <c r="I247" s="9" t="s">
        <v>12</v>
      </c>
      <c r="J247" s="9" t="s">
        <v>13</v>
      </c>
      <c r="K247" s="9" t="s">
        <v>14</v>
      </c>
      <c r="L247" s="9" t="s">
        <v>15</v>
      </c>
    </row>
    <row r="248">
      <c r="A248" s="49">
        <v>1.0</v>
      </c>
      <c r="B248" s="49" t="s">
        <v>20</v>
      </c>
      <c r="C248" s="50">
        <f t="shared" ref="C248:C250" si="23">E248+F248+G248+H248+I248+J248+K248+L248</f>
        <v>0</v>
      </c>
      <c r="D248" s="13"/>
      <c r="E248" s="49">
        <v>0.0</v>
      </c>
      <c r="F248" s="49">
        <v>0.0</v>
      </c>
      <c r="G248" s="49">
        <v>0.0</v>
      </c>
      <c r="H248" s="49">
        <v>0.0</v>
      </c>
      <c r="I248" s="49">
        <v>0.0</v>
      </c>
      <c r="J248" s="49">
        <v>0.0</v>
      </c>
      <c r="K248" s="49">
        <v>0.0</v>
      </c>
      <c r="L248" s="49">
        <v>0.0</v>
      </c>
    </row>
    <row r="249">
      <c r="A249" s="49">
        <v>2.0</v>
      </c>
      <c r="B249" s="49" t="s">
        <v>14</v>
      </c>
      <c r="C249" s="50">
        <f t="shared" si="23"/>
        <v>0</v>
      </c>
      <c r="D249" s="13"/>
      <c r="E249" s="49">
        <v>0.0</v>
      </c>
      <c r="F249" s="49">
        <v>0.0</v>
      </c>
      <c r="G249" s="49">
        <v>0.0</v>
      </c>
      <c r="H249" s="49">
        <v>0.0</v>
      </c>
      <c r="I249" s="49">
        <v>0.0</v>
      </c>
      <c r="J249" s="49">
        <v>0.0</v>
      </c>
      <c r="K249" s="49">
        <v>0.0</v>
      </c>
      <c r="L249" s="49">
        <v>0.0</v>
      </c>
    </row>
    <row r="250">
      <c r="A250" s="49">
        <v>3.0</v>
      </c>
      <c r="B250" s="49" t="s">
        <v>15</v>
      </c>
      <c r="C250" s="50">
        <f t="shared" si="23"/>
        <v>0</v>
      </c>
      <c r="D250" s="13"/>
      <c r="E250" s="49">
        <v>0.0</v>
      </c>
      <c r="F250" s="49">
        <v>0.0</v>
      </c>
      <c r="G250" s="49">
        <v>0.0</v>
      </c>
      <c r="H250" s="49">
        <v>0.0</v>
      </c>
      <c r="I250" s="49">
        <v>0.0</v>
      </c>
      <c r="J250" s="49">
        <v>0.0</v>
      </c>
      <c r="K250" s="49">
        <v>0.0</v>
      </c>
      <c r="L250" s="49">
        <v>0.0</v>
      </c>
    </row>
    <row r="251">
      <c r="A251" s="30" t="s">
        <v>96</v>
      </c>
      <c r="B251" s="3"/>
      <c r="C251" s="20">
        <f>SUM(C248:C250)</f>
        <v>0</v>
      </c>
      <c r="D251" s="21"/>
      <c r="E251" s="20">
        <f t="shared" ref="E251:L251" si="24">SUM(E248:E250)</f>
        <v>0</v>
      </c>
      <c r="F251" s="20">
        <f t="shared" si="24"/>
        <v>0</v>
      </c>
      <c r="G251" s="20">
        <f t="shared" si="24"/>
        <v>0</v>
      </c>
      <c r="H251" s="20">
        <f t="shared" si="24"/>
        <v>0</v>
      </c>
      <c r="I251" s="20">
        <f t="shared" si="24"/>
        <v>0</v>
      </c>
      <c r="J251" s="20">
        <f t="shared" si="24"/>
        <v>0</v>
      </c>
      <c r="K251" s="20">
        <f t="shared" si="24"/>
        <v>0</v>
      </c>
      <c r="L251" s="20">
        <f t="shared" si="24"/>
        <v>0</v>
      </c>
    </row>
    <row r="252">
      <c r="A252" s="45" t="s">
        <v>97</v>
      </c>
      <c r="B252" s="2"/>
      <c r="C252" s="3"/>
      <c r="D252" s="21"/>
      <c r="E252" s="20">
        <f>C244+C251</f>
        <v>8</v>
      </c>
      <c r="F252" s="46"/>
      <c r="G252" s="2"/>
      <c r="H252" s="2"/>
      <c r="I252" s="2"/>
      <c r="J252" s="2"/>
      <c r="K252" s="2"/>
      <c r="L252" s="3"/>
    </row>
    <row r="253">
      <c r="A253" s="2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3"/>
    </row>
    <row r="254">
      <c r="A254" s="35" t="s">
        <v>98</v>
      </c>
      <c r="B254" s="2"/>
      <c r="C254" s="3"/>
      <c r="D254" s="47"/>
      <c r="E254" s="6" t="s">
        <v>99</v>
      </c>
      <c r="F254" s="2"/>
      <c r="G254" s="2"/>
      <c r="H254" s="2"/>
      <c r="I254" s="2"/>
      <c r="J254" s="2"/>
      <c r="K254" s="2"/>
      <c r="L254" s="3"/>
    </row>
    <row r="255" ht="20.25" customHeight="1">
      <c r="A255" s="52" t="s">
        <v>5</v>
      </c>
      <c r="B255" s="52" t="s">
        <v>100</v>
      </c>
      <c r="C255" s="52" t="s">
        <v>7</v>
      </c>
      <c r="D255" s="53"/>
      <c r="E255" s="54" t="s">
        <v>8</v>
      </c>
      <c r="F255" s="54" t="s">
        <v>9</v>
      </c>
      <c r="G255" s="54" t="s">
        <v>10</v>
      </c>
      <c r="H255" s="54" t="s">
        <v>11</v>
      </c>
      <c r="I255" s="54" t="s">
        <v>12</v>
      </c>
      <c r="J255" s="54" t="s">
        <v>13</v>
      </c>
      <c r="K255" s="54" t="s">
        <v>14</v>
      </c>
      <c r="L255" s="54" t="s">
        <v>15</v>
      </c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</row>
    <row r="256">
      <c r="A256" s="49">
        <v>1.0</v>
      </c>
      <c r="B256" s="49" t="s">
        <v>18</v>
      </c>
      <c r="C256" s="50">
        <f t="shared" ref="C256:C258" si="25">E256+F256+G256+H256+I256+J256+K256+L256</f>
        <v>178</v>
      </c>
      <c r="D256" s="13"/>
      <c r="E256" s="49">
        <v>0.0</v>
      </c>
      <c r="F256" s="49">
        <v>178.0</v>
      </c>
      <c r="G256" s="49">
        <v>0.0</v>
      </c>
      <c r="H256" s="49">
        <v>0.0</v>
      </c>
      <c r="I256" s="49">
        <v>0.0</v>
      </c>
      <c r="J256" s="49">
        <v>0.0</v>
      </c>
      <c r="K256" s="49">
        <v>0.0</v>
      </c>
      <c r="L256" s="49">
        <v>0.0</v>
      </c>
    </row>
    <row r="257">
      <c r="A257" s="49">
        <v>2.0</v>
      </c>
      <c r="B257" s="49" t="s">
        <v>14</v>
      </c>
      <c r="C257" s="50">
        <f t="shared" si="25"/>
        <v>0</v>
      </c>
      <c r="D257" s="13"/>
      <c r="E257" s="49">
        <v>0.0</v>
      </c>
      <c r="F257" s="49">
        <v>0.0</v>
      </c>
      <c r="G257" s="49">
        <v>0.0</v>
      </c>
      <c r="H257" s="49">
        <v>0.0</v>
      </c>
      <c r="I257" s="49">
        <v>0.0</v>
      </c>
      <c r="J257" s="49">
        <v>0.0</v>
      </c>
      <c r="K257" s="49">
        <v>0.0</v>
      </c>
      <c r="L257" s="49">
        <v>0.0</v>
      </c>
    </row>
    <row r="258">
      <c r="A258" s="49">
        <v>3.0</v>
      </c>
      <c r="B258" s="49" t="s">
        <v>15</v>
      </c>
      <c r="C258" s="50">
        <f t="shared" si="25"/>
        <v>0</v>
      </c>
      <c r="D258" s="13"/>
      <c r="E258" s="49">
        <v>0.0</v>
      </c>
      <c r="F258" s="49">
        <v>0.0</v>
      </c>
      <c r="G258" s="49">
        <v>0.0</v>
      </c>
      <c r="H258" s="49">
        <v>0.0</v>
      </c>
      <c r="I258" s="49">
        <v>0.0</v>
      </c>
      <c r="J258" s="49">
        <v>0.0</v>
      </c>
      <c r="K258" s="49">
        <v>0.0</v>
      </c>
      <c r="L258" s="49">
        <v>0.0</v>
      </c>
    </row>
    <row r="259">
      <c r="A259" s="19" t="s">
        <v>101</v>
      </c>
      <c r="B259" s="3"/>
      <c r="C259" s="20">
        <f>SUM(C256:C258)</f>
        <v>178</v>
      </c>
      <c r="D259" s="21"/>
      <c r="E259" s="20">
        <f t="shared" ref="E259:L259" si="26">SUM(E256:E258)</f>
        <v>0</v>
      </c>
      <c r="F259" s="20">
        <f t="shared" si="26"/>
        <v>178</v>
      </c>
      <c r="G259" s="20">
        <f t="shared" si="26"/>
        <v>0</v>
      </c>
      <c r="H259" s="20">
        <f t="shared" si="26"/>
        <v>0</v>
      </c>
      <c r="I259" s="20">
        <f t="shared" si="26"/>
        <v>0</v>
      </c>
      <c r="J259" s="20">
        <f t="shared" si="26"/>
        <v>0</v>
      </c>
      <c r="K259" s="20">
        <f t="shared" si="26"/>
        <v>0</v>
      </c>
      <c r="L259" s="20">
        <f t="shared" si="26"/>
        <v>0</v>
      </c>
    </row>
    <row r="260">
      <c r="A260" s="2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3"/>
    </row>
    <row r="261">
      <c r="A261" s="39" t="s">
        <v>102</v>
      </c>
      <c r="B261" s="2"/>
      <c r="C261" s="3"/>
      <c r="D261" s="51"/>
      <c r="E261" s="26" t="s">
        <v>103</v>
      </c>
      <c r="F261" s="2"/>
      <c r="G261" s="2"/>
      <c r="H261" s="2"/>
      <c r="I261" s="2"/>
      <c r="J261" s="2"/>
      <c r="K261" s="2"/>
      <c r="L261" s="3"/>
    </row>
    <row r="262">
      <c r="A262" s="52" t="s">
        <v>5</v>
      </c>
      <c r="B262" s="22" t="s">
        <v>104</v>
      </c>
      <c r="C262" s="22" t="s">
        <v>7</v>
      </c>
      <c r="D262" s="48"/>
      <c r="E262" s="9" t="s">
        <v>8</v>
      </c>
      <c r="F262" s="9" t="s">
        <v>9</v>
      </c>
      <c r="G262" s="9" t="s">
        <v>10</v>
      </c>
      <c r="H262" s="9" t="s">
        <v>11</v>
      </c>
      <c r="I262" s="9" t="s">
        <v>12</v>
      </c>
      <c r="J262" s="9" t="s">
        <v>13</v>
      </c>
      <c r="K262" s="9" t="s">
        <v>14</v>
      </c>
      <c r="L262" s="9" t="s">
        <v>15</v>
      </c>
    </row>
    <row r="263">
      <c r="A263" s="49">
        <v>1.0</v>
      </c>
      <c r="B263" s="49" t="s">
        <v>18</v>
      </c>
      <c r="C263" s="50">
        <f t="shared" ref="C263:C265" si="27">E263+F263+G263+H263+I263+J263+K263+L263</f>
        <v>0</v>
      </c>
      <c r="D263" s="13"/>
      <c r="E263" s="49">
        <v>0.0</v>
      </c>
      <c r="F263" s="49">
        <v>0.0</v>
      </c>
      <c r="G263" s="49">
        <v>0.0</v>
      </c>
      <c r="H263" s="49">
        <v>0.0</v>
      </c>
      <c r="I263" s="49">
        <v>0.0</v>
      </c>
      <c r="J263" s="49">
        <v>0.0</v>
      </c>
      <c r="K263" s="49">
        <v>0.0</v>
      </c>
      <c r="L263" s="49">
        <v>0.0</v>
      </c>
    </row>
    <row r="264">
      <c r="A264" s="49">
        <v>2.0</v>
      </c>
      <c r="B264" s="49" t="s">
        <v>14</v>
      </c>
      <c r="C264" s="50">
        <f t="shared" si="27"/>
        <v>0</v>
      </c>
      <c r="D264" s="13"/>
      <c r="E264" s="49">
        <v>0.0</v>
      </c>
      <c r="F264" s="49">
        <v>0.0</v>
      </c>
      <c r="G264" s="49">
        <v>0.0</v>
      </c>
      <c r="H264" s="49">
        <v>0.0</v>
      </c>
      <c r="I264" s="49">
        <v>0.0</v>
      </c>
      <c r="J264" s="49">
        <v>0.0</v>
      </c>
      <c r="K264" s="49">
        <v>0.0</v>
      </c>
      <c r="L264" s="49">
        <v>0.0</v>
      </c>
    </row>
    <row r="265">
      <c r="A265" s="49">
        <v>3.0</v>
      </c>
      <c r="B265" s="49" t="s">
        <v>15</v>
      </c>
      <c r="C265" s="50">
        <f t="shared" si="27"/>
        <v>0</v>
      </c>
      <c r="D265" s="13"/>
      <c r="E265" s="49">
        <v>0.0</v>
      </c>
      <c r="F265" s="49">
        <v>0.0</v>
      </c>
      <c r="G265" s="49">
        <v>0.0</v>
      </c>
      <c r="H265" s="49">
        <v>0.0</v>
      </c>
      <c r="I265" s="49">
        <v>0.0</v>
      </c>
      <c r="J265" s="49">
        <v>0.0</v>
      </c>
      <c r="K265" s="49">
        <v>0.0</v>
      </c>
      <c r="L265" s="49">
        <v>0.0</v>
      </c>
    </row>
    <row r="266">
      <c r="A266" s="30" t="s">
        <v>105</v>
      </c>
      <c r="B266" s="3"/>
      <c r="C266" s="20">
        <f>SUM(C263:C265)</f>
        <v>0</v>
      </c>
      <c r="D266" s="21"/>
      <c r="E266" s="20">
        <f t="shared" ref="E266:L266" si="28">SUM(E263:E265)</f>
        <v>0</v>
      </c>
      <c r="F266" s="20">
        <f t="shared" si="28"/>
        <v>0</v>
      </c>
      <c r="G266" s="20">
        <f t="shared" si="28"/>
        <v>0</v>
      </c>
      <c r="H266" s="20">
        <f t="shared" si="28"/>
        <v>0</v>
      </c>
      <c r="I266" s="20">
        <f t="shared" si="28"/>
        <v>0</v>
      </c>
      <c r="J266" s="20">
        <f t="shared" si="28"/>
        <v>0</v>
      </c>
      <c r="K266" s="20">
        <f t="shared" si="28"/>
        <v>0</v>
      </c>
      <c r="L266" s="20">
        <f t="shared" si="28"/>
        <v>0</v>
      </c>
    </row>
    <row r="267">
      <c r="A267" s="45" t="s">
        <v>124</v>
      </c>
      <c r="B267" s="2"/>
      <c r="C267" s="3"/>
      <c r="D267" s="21"/>
      <c r="E267" s="22">
        <v>178.0</v>
      </c>
      <c r="F267" s="46"/>
      <c r="G267" s="2"/>
      <c r="H267" s="2"/>
      <c r="I267" s="2"/>
      <c r="J267" s="2"/>
      <c r="K267" s="2"/>
      <c r="L267" s="3"/>
    </row>
    <row r="268">
      <c r="A268" s="2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3"/>
    </row>
    <row r="269">
      <c r="A269" s="35" t="s">
        <v>106</v>
      </c>
      <c r="B269" s="2"/>
      <c r="C269" s="3"/>
      <c r="D269" s="47"/>
      <c r="E269" s="6" t="s">
        <v>107</v>
      </c>
      <c r="F269" s="2"/>
      <c r="G269" s="2"/>
      <c r="H269" s="2"/>
      <c r="I269" s="2"/>
      <c r="J269" s="2"/>
      <c r="K269" s="2"/>
      <c r="L269" s="3"/>
    </row>
    <row r="270" ht="17.25" customHeight="1">
      <c r="A270" s="22" t="s">
        <v>5</v>
      </c>
      <c r="B270" s="22" t="s">
        <v>108</v>
      </c>
      <c r="C270" s="22" t="s">
        <v>7</v>
      </c>
      <c r="D270" s="48"/>
      <c r="E270" s="9" t="s">
        <v>8</v>
      </c>
      <c r="F270" s="9" t="s">
        <v>9</v>
      </c>
      <c r="G270" s="9" t="s">
        <v>10</v>
      </c>
      <c r="H270" s="9" t="s">
        <v>11</v>
      </c>
      <c r="I270" s="9" t="s">
        <v>12</v>
      </c>
      <c r="J270" s="9" t="s">
        <v>13</v>
      </c>
      <c r="K270" s="9" t="s">
        <v>14</v>
      </c>
      <c r="L270" s="9" t="s">
        <v>15</v>
      </c>
    </row>
    <row r="271">
      <c r="A271" s="49">
        <v>1.0</v>
      </c>
      <c r="B271" s="49" t="s">
        <v>109</v>
      </c>
      <c r="C271" s="50">
        <f t="shared" ref="C271:C273" si="29">E271+F271+G271+H271+I271+J271+K271+L271</f>
        <v>0</v>
      </c>
      <c r="D271" s="13"/>
      <c r="E271" s="49">
        <v>0.0</v>
      </c>
      <c r="F271" s="49">
        <v>0.0</v>
      </c>
      <c r="G271" s="49">
        <v>0.0</v>
      </c>
      <c r="H271" s="49">
        <v>0.0</v>
      </c>
      <c r="I271" s="49">
        <v>0.0</v>
      </c>
      <c r="J271" s="49">
        <v>0.0</v>
      </c>
      <c r="K271" s="49">
        <v>0.0</v>
      </c>
      <c r="L271" s="49">
        <v>0.0</v>
      </c>
    </row>
    <row r="272">
      <c r="A272" s="49">
        <v>2.0</v>
      </c>
      <c r="B272" s="49" t="s">
        <v>14</v>
      </c>
      <c r="C272" s="50">
        <f t="shared" si="29"/>
        <v>0</v>
      </c>
      <c r="D272" s="13"/>
      <c r="E272" s="49">
        <v>0.0</v>
      </c>
      <c r="F272" s="49">
        <v>0.0</v>
      </c>
      <c r="G272" s="49">
        <v>0.0</v>
      </c>
      <c r="H272" s="49">
        <v>0.0</v>
      </c>
      <c r="I272" s="49">
        <v>0.0</v>
      </c>
      <c r="J272" s="49">
        <v>0.0</v>
      </c>
      <c r="K272" s="49">
        <v>0.0</v>
      </c>
      <c r="L272" s="49">
        <v>0.0</v>
      </c>
    </row>
    <row r="273">
      <c r="A273" s="49">
        <v>3.0</v>
      </c>
      <c r="B273" s="49" t="s">
        <v>15</v>
      </c>
      <c r="C273" s="50">
        <f t="shared" si="29"/>
        <v>0</v>
      </c>
      <c r="D273" s="13"/>
      <c r="E273" s="49">
        <v>0.0</v>
      </c>
      <c r="F273" s="49">
        <v>0.0</v>
      </c>
      <c r="G273" s="49">
        <v>0.0</v>
      </c>
      <c r="H273" s="49">
        <v>0.0</v>
      </c>
      <c r="I273" s="49">
        <v>0.0</v>
      </c>
      <c r="J273" s="49">
        <v>0.0</v>
      </c>
      <c r="K273" s="49">
        <v>0.0</v>
      </c>
      <c r="L273" s="49">
        <v>0.0</v>
      </c>
    </row>
    <row r="274">
      <c r="A274" s="19" t="s">
        <v>110</v>
      </c>
      <c r="B274" s="3"/>
      <c r="C274" s="20">
        <f>SUM(C271:C273)</f>
        <v>0</v>
      </c>
      <c r="D274" s="21"/>
      <c r="E274" s="20">
        <f t="shared" ref="E274:L274" si="30">SUM(E271:E273)</f>
        <v>0</v>
      </c>
      <c r="F274" s="20">
        <f t="shared" si="30"/>
        <v>0</v>
      </c>
      <c r="G274" s="20">
        <f t="shared" si="30"/>
        <v>0</v>
      </c>
      <c r="H274" s="20">
        <f t="shared" si="30"/>
        <v>0</v>
      </c>
      <c r="I274" s="20">
        <f t="shared" si="30"/>
        <v>0</v>
      </c>
      <c r="J274" s="20">
        <f t="shared" si="30"/>
        <v>0</v>
      </c>
      <c r="K274" s="20">
        <f t="shared" si="30"/>
        <v>0</v>
      </c>
      <c r="L274" s="20">
        <f t="shared" si="30"/>
        <v>0</v>
      </c>
    </row>
    <row r="275">
      <c r="A275" s="2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3"/>
    </row>
    <row r="276">
      <c r="A276" s="39" t="s">
        <v>111</v>
      </c>
      <c r="B276" s="2"/>
      <c r="C276" s="3"/>
      <c r="D276" s="51"/>
      <c r="E276" s="26" t="s">
        <v>112</v>
      </c>
      <c r="F276" s="2"/>
      <c r="G276" s="2"/>
      <c r="H276" s="2"/>
      <c r="I276" s="2"/>
      <c r="J276" s="2"/>
      <c r="K276" s="2"/>
      <c r="L276" s="3"/>
    </row>
    <row r="277" ht="19.5" customHeight="1">
      <c r="A277" s="52" t="s">
        <v>5</v>
      </c>
      <c r="B277" s="22" t="s">
        <v>113</v>
      </c>
      <c r="C277" s="22" t="s">
        <v>7</v>
      </c>
      <c r="D277" s="48"/>
      <c r="E277" s="9" t="s">
        <v>8</v>
      </c>
      <c r="F277" s="9" t="s">
        <v>9</v>
      </c>
      <c r="G277" s="9" t="s">
        <v>10</v>
      </c>
      <c r="H277" s="9" t="s">
        <v>11</v>
      </c>
      <c r="I277" s="9" t="s">
        <v>12</v>
      </c>
      <c r="J277" s="9" t="s">
        <v>13</v>
      </c>
      <c r="K277" s="9" t="s">
        <v>14</v>
      </c>
      <c r="L277" s="9" t="s">
        <v>15</v>
      </c>
    </row>
    <row r="278">
      <c r="A278" s="49">
        <v>1.0</v>
      </c>
      <c r="B278" s="49" t="s">
        <v>34</v>
      </c>
      <c r="C278" s="50">
        <f t="shared" ref="C278:C280" si="31">E278+F278+G278+H278+I278+J278+K278+L278</f>
        <v>15</v>
      </c>
      <c r="D278" s="13"/>
      <c r="E278" s="49">
        <v>0.0</v>
      </c>
      <c r="F278" s="49">
        <v>15.0</v>
      </c>
      <c r="G278" s="49">
        <v>0.0</v>
      </c>
      <c r="H278" s="49">
        <v>0.0</v>
      </c>
      <c r="I278" s="49">
        <v>0.0</v>
      </c>
      <c r="J278" s="49">
        <v>0.0</v>
      </c>
      <c r="K278" s="49">
        <v>0.0</v>
      </c>
      <c r="L278" s="49">
        <v>0.0</v>
      </c>
    </row>
    <row r="279">
      <c r="A279" s="49">
        <v>2.0</v>
      </c>
      <c r="B279" s="49" t="s">
        <v>14</v>
      </c>
      <c r="C279" s="50">
        <f t="shared" si="31"/>
        <v>0</v>
      </c>
      <c r="D279" s="13"/>
      <c r="E279" s="49">
        <v>0.0</v>
      </c>
      <c r="F279" s="49">
        <v>0.0</v>
      </c>
      <c r="G279" s="49">
        <v>0.0</v>
      </c>
      <c r="H279" s="49">
        <v>0.0</v>
      </c>
      <c r="I279" s="49">
        <v>0.0</v>
      </c>
      <c r="J279" s="49">
        <v>0.0</v>
      </c>
      <c r="K279" s="49">
        <v>0.0</v>
      </c>
      <c r="L279" s="49">
        <v>0.0</v>
      </c>
    </row>
    <row r="280">
      <c r="A280" s="49">
        <v>3.0</v>
      </c>
      <c r="B280" s="49" t="s">
        <v>15</v>
      </c>
      <c r="C280" s="50">
        <f t="shared" si="31"/>
        <v>0</v>
      </c>
      <c r="D280" s="13"/>
      <c r="E280" s="49">
        <v>0.0</v>
      </c>
      <c r="F280" s="49">
        <v>0.0</v>
      </c>
      <c r="G280" s="49">
        <v>0.0</v>
      </c>
      <c r="H280" s="49">
        <v>0.0</v>
      </c>
      <c r="I280" s="49">
        <v>0.0</v>
      </c>
      <c r="J280" s="49">
        <v>0.0</v>
      </c>
      <c r="K280" s="49">
        <v>0.0</v>
      </c>
      <c r="L280" s="49">
        <v>0.0</v>
      </c>
    </row>
    <row r="281">
      <c r="A281" s="30" t="s">
        <v>114</v>
      </c>
      <c r="B281" s="3"/>
      <c r="C281" s="20">
        <f>SUM(C278:C280)</f>
        <v>15</v>
      </c>
      <c r="D281" s="21"/>
      <c r="E281" s="20">
        <f t="shared" ref="E281:L281" si="32">SUM(E278:E280)</f>
        <v>0</v>
      </c>
      <c r="F281" s="20">
        <f t="shared" si="32"/>
        <v>15</v>
      </c>
      <c r="G281" s="20">
        <f t="shared" si="32"/>
        <v>0</v>
      </c>
      <c r="H281" s="20">
        <f t="shared" si="32"/>
        <v>0</v>
      </c>
      <c r="I281" s="20">
        <f t="shared" si="32"/>
        <v>0</v>
      </c>
      <c r="J281" s="20">
        <f t="shared" si="32"/>
        <v>0</v>
      </c>
      <c r="K281" s="20">
        <f t="shared" si="32"/>
        <v>0</v>
      </c>
      <c r="L281" s="20">
        <f t="shared" si="32"/>
        <v>0</v>
      </c>
    </row>
    <row r="282">
      <c r="A282" s="56" t="s">
        <v>115</v>
      </c>
      <c r="B282" s="2"/>
      <c r="C282" s="3"/>
      <c r="D282" s="57"/>
      <c r="E282" s="20">
        <f>C274+C281</f>
        <v>15</v>
      </c>
    </row>
    <row r="284">
      <c r="A284" s="58" t="s">
        <v>116</v>
      </c>
      <c r="B284" s="2"/>
      <c r="C284" s="2"/>
      <c r="D284" s="2"/>
      <c r="E284" s="3"/>
    </row>
    <row r="285">
      <c r="A285" s="58" t="s">
        <v>118</v>
      </c>
      <c r="B285" s="2"/>
      <c r="C285" s="3"/>
      <c r="D285" s="59"/>
      <c r="E285" s="60" t="s">
        <v>119</v>
      </c>
    </row>
    <row r="286">
      <c r="A286" s="63" t="s">
        <v>53</v>
      </c>
      <c r="B286" s="2"/>
      <c r="C286" s="2"/>
      <c r="D286" s="64"/>
      <c r="E286" s="65">
        <f>E69</f>
        <v>8805</v>
      </c>
    </row>
    <row r="287">
      <c r="A287" s="63" t="s">
        <v>64</v>
      </c>
      <c r="B287" s="2"/>
      <c r="C287" s="2"/>
      <c r="D287" s="64"/>
      <c r="E287" s="65">
        <f>E138</f>
        <v>413</v>
      </c>
      <c r="M287" s="15"/>
    </row>
    <row r="288">
      <c r="A288" s="63" t="s">
        <v>73</v>
      </c>
      <c r="B288" s="2"/>
      <c r="C288" s="2"/>
      <c r="D288" s="64"/>
      <c r="E288" s="65">
        <f>E207</f>
        <v>192</v>
      </c>
    </row>
    <row r="289">
      <c r="A289" s="66" t="s">
        <v>125</v>
      </c>
      <c r="B289" s="2"/>
      <c r="C289" s="3"/>
      <c r="D289" s="64"/>
      <c r="E289" s="65">
        <f>E222+E237+E252+E267+E282</f>
        <v>209</v>
      </c>
    </row>
    <row r="290">
      <c r="A290" s="68" t="s">
        <v>127</v>
      </c>
      <c r="B290" s="2"/>
      <c r="C290" s="3"/>
      <c r="D290" s="64"/>
      <c r="E290" s="59">
        <f>SUM(E286:E289)</f>
        <v>9619</v>
      </c>
    </row>
    <row r="291">
      <c r="A291" s="70"/>
    </row>
    <row r="292">
      <c r="A292" s="58" t="s">
        <v>129</v>
      </c>
      <c r="B292" s="2"/>
      <c r="C292" s="2"/>
      <c r="D292" s="3"/>
      <c r="E292" s="60" t="s">
        <v>130</v>
      </c>
    </row>
    <row r="293">
      <c r="A293" s="71" t="s">
        <v>131</v>
      </c>
      <c r="B293" s="2"/>
      <c r="C293" s="2"/>
      <c r="D293" s="3"/>
      <c r="E293" s="60">
        <v>7789.0</v>
      </c>
      <c r="F293" s="72" t="s">
        <v>118</v>
      </c>
      <c r="G293" s="2"/>
      <c r="H293" s="3"/>
    </row>
    <row r="294">
      <c r="A294" s="71" t="s">
        <v>132</v>
      </c>
      <c r="B294" s="2"/>
      <c r="C294" s="2"/>
      <c r="D294" s="3"/>
      <c r="E294" s="73">
        <v>616.0</v>
      </c>
      <c r="F294" s="12" t="s">
        <v>133</v>
      </c>
      <c r="G294" s="12" t="s">
        <v>134</v>
      </c>
      <c r="H294" s="12" t="s">
        <v>135</v>
      </c>
    </row>
    <row r="295">
      <c r="A295" s="71" t="s">
        <v>136</v>
      </c>
      <c r="B295" s="2"/>
      <c r="C295" s="2"/>
      <c r="D295" s="3"/>
      <c r="E295" s="73">
        <v>400.0</v>
      </c>
      <c r="F295" s="12">
        <v>0.0</v>
      </c>
      <c r="G295" s="12">
        <v>0.0</v>
      </c>
      <c r="H295" s="12">
        <v>0.0</v>
      </c>
    </row>
    <row r="296">
      <c r="A296" s="71" t="s">
        <v>137</v>
      </c>
      <c r="B296" s="2"/>
      <c r="C296" s="2"/>
      <c r="D296" s="3"/>
      <c r="E296" s="73">
        <v>106.0</v>
      </c>
      <c r="F296" s="12">
        <v>0.0</v>
      </c>
      <c r="G296" s="12">
        <v>0.0</v>
      </c>
      <c r="H296" s="12">
        <v>0.0</v>
      </c>
    </row>
    <row r="297">
      <c r="A297" s="71" t="s">
        <v>138</v>
      </c>
      <c r="B297" s="2"/>
      <c r="C297" s="2"/>
      <c r="D297" s="3"/>
      <c r="E297" s="73">
        <v>1204.0</v>
      </c>
      <c r="F297" s="12">
        <v>0.0</v>
      </c>
      <c r="G297" s="12">
        <v>0.0</v>
      </c>
      <c r="H297" s="12">
        <v>0.0</v>
      </c>
      <c r="Q297" s="74"/>
    </row>
    <row r="298">
      <c r="A298" s="71" t="s">
        <v>139</v>
      </c>
      <c r="B298" s="2"/>
      <c r="C298" s="2"/>
      <c r="D298" s="3"/>
      <c r="E298" s="60">
        <v>315.0</v>
      </c>
      <c r="F298" s="12">
        <v>0.0</v>
      </c>
      <c r="G298" s="12">
        <v>0.0</v>
      </c>
      <c r="H298" s="12">
        <v>0.0</v>
      </c>
      <c r="Q298" s="74"/>
    </row>
    <row r="299">
      <c r="A299" s="56" t="s">
        <v>140</v>
      </c>
      <c r="B299" s="2"/>
      <c r="C299" s="2"/>
      <c r="D299" s="3"/>
      <c r="E299" s="60">
        <f>SUM(E293:E298)</f>
        <v>10430</v>
      </c>
      <c r="F299" s="75">
        <f t="shared" ref="F299:H299" si="33">SUM(F295:F298)</f>
        <v>0</v>
      </c>
      <c r="G299" s="75">
        <f t="shared" si="33"/>
        <v>0</v>
      </c>
      <c r="H299" s="75">
        <f t="shared" si="33"/>
        <v>0</v>
      </c>
      <c r="Q299" s="74"/>
    </row>
    <row r="300">
      <c r="A300" s="76" t="s">
        <v>141</v>
      </c>
      <c r="B300" s="2"/>
      <c r="C300" s="2"/>
      <c r="D300" s="3"/>
      <c r="E300" s="7">
        <v>0.0</v>
      </c>
      <c r="F300" s="12">
        <v>0.0</v>
      </c>
      <c r="G300" s="12">
        <v>0.0</v>
      </c>
      <c r="H300" s="12">
        <v>0.0</v>
      </c>
      <c r="Q300" s="74"/>
    </row>
    <row r="301">
      <c r="A301" s="76" t="s">
        <v>142</v>
      </c>
      <c r="B301" s="2"/>
      <c r="C301" s="2"/>
      <c r="D301" s="3"/>
      <c r="E301" s="7">
        <v>504.0</v>
      </c>
      <c r="F301" s="12">
        <v>242.0</v>
      </c>
      <c r="G301" s="12">
        <v>160.0</v>
      </c>
      <c r="H301" s="12">
        <v>102.0</v>
      </c>
      <c r="Q301" s="74"/>
    </row>
    <row r="302">
      <c r="A302" s="76" t="s">
        <v>143</v>
      </c>
      <c r="B302" s="2"/>
      <c r="C302" s="2"/>
      <c r="D302" s="3"/>
      <c r="E302" s="7">
        <v>307.0</v>
      </c>
      <c r="F302" s="12">
        <v>116.0</v>
      </c>
      <c r="G302" s="12">
        <v>65.0</v>
      </c>
      <c r="H302" s="12">
        <v>26.0</v>
      </c>
      <c r="Q302" s="74"/>
    </row>
    <row r="303">
      <c r="A303" s="76" t="s">
        <v>144</v>
      </c>
      <c r="B303" s="2"/>
      <c r="C303" s="2"/>
      <c r="D303" s="3"/>
      <c r="E303" s="77">
        <f>E299-E300-E301-E302</f>
        <v>9619</v>
      </c>
      <c r="F303" s="57"/>
      <c r="G303" s="57"/>
      <c r="H303" s="57"/>
      <c r="Q303" s="78"/>
    </row>
    <row r="306">
      <c r="A306" s="57"/>
      <c r="B306" s="23"/>
      <c r="C306" s="2"/>
      <c r="D306" s="2"/>
      <c r="E306" s="2"/>
      <c r="F306" s="3"/>
      <c r="G306" s="23"/>
      <c r="H306" s="3"/>
    </row>
    <row r="307">
      <c r="A307" s="12"/>
      <c r="B307" s="72" t="s">
        <v>145</v>
      </c>
      <c r="C307" s="2"/>
      <c r="D307" s="2"/>
      <c r="E307" s="2"/>
      <c r="F307" s="3"/>
      <c r="G307" s="72" t="s">
        <v>146</v>
      </c>
      <c r="H307" s="3"/>
    </row>
    <row r="308">
      <c r="A308" s="12"/>
      <c r="B308" s="72" t="s">
        <v>147</v>
      </c>
      <c r="C308" s="2"/>
      <c r="D308" s="2"/>
      <c r="E308" s="2"/>
      <c r="F308" s="3"/>
      <c r="G308" s="72">
        <v>3574026.0</v>
      </c>
      <c r="H308" s="3"/>
    </row>
    <row r="309">
      <c r="A309" s="12"/>
      <c r="B309" s="72" t="s">
        <v>148</v>
      </c>
      <c r="C309" s="2"/>
      <c r="D309" s="2"/>
      <c r="E309" s="2"/>
      <c r="F309" s="3"/>
      <c r="G309" s="72">
        <v>888888.0</v>
      </c>
      <c r="H309" s="3"/>
    </row>
    <row r="310">
      <c r="A310" s="75"/>
      <c r="B310" s="72" t="s">
        <v>149</v>
      </c>
      <c r="C310" s="2"/>
      <c r="D310" s="2"/>
      <c r="E310" s="2"/>
      <c r="F310" s="3"/>
      <c r="G310" s="72">
        <v>905520.0</v>
      </c>
      <c r="H310" s="3"/>
    </row>
    <row r="311">
      <c r="A311" s="75"/>
      <c r="B311" s="72" t="s">
        <v>150</v>
      </c>
      <c r="C311" s="2"/>
      <c r="D311" s="2"/>
      <c r="E311" s="2"/>
      <c r="F311" s="3"/>
      <c r="G311" s="79">
        <v>1300618.0</v>
      </c>
      <c r="H311" s="3"/>
    </row>
    <row r="312">
      <c r="A312" s="75"/>
      <c r="B312" s="72" t="s">
        <v>151</v>
      </c>
      <c r="C312" s="2"/>
      <c r="D312" s="2"/>
      <c r="E312" s="2"/>
      <c r="F312" s="3"/>
      <c r="G312" s="72">
        <v>356500.0</v>
      </c>
      <c r="H312" s="3"/>
    </row>
    <row r="313">
      <c r="A313" s="75"/>
      <c r="B313" s="72" t="s">
        <v>152</v>
      </c>
      <c r="C313" s="2"/>
      <c r="D313" s="2"/>
      <c r="E313" s="2"/>
      <c r="F313" s="3"/>
      <c r="G313" s="34">
        <f>SUM(G308:H312)</f>
        <v>7025552</v>
      </c>
      <c r="H313" s="3"/>
    </row>
    <row r="314">
      <c r="A314" s="75"/>
      <c r="B314" s="34"/>
      <c r="C314" s="2"/>
      <c r="D314" s="2"/>
      <c r="E314" s="2"/>
      <c r="F314" s="3"/>
      <c r="G314" s="34"/>
      <c r="H314" s="3"/>
    </row>
    <row r="315">
      <c r="A315" s="75"/>
      <c r="B315" s="72" t="s">
        <v>153</v>
      </c>
      <c r="C315" s="2"/>
      <c r="D315" s="2"/>
      <c r="E315" s="2"/>
      <c r="F315" s="3"/>
      <c r="G315" s="72"/>
      <c r="H315" s="3"/>
    </row>
    <row r="316">
      <c r="A316" s="75"/>
      <c r="B316" s="72" t="s">
        <v>154</v>
      </c>
      <c r="C316" s="2"/>
      <c r="D316" s="2"/>
      <c r="E316" s="2"/>
      <c r="F316" s="3"/>
      <c r="G316" s="72">
        <v>5184625.0</v>
      </c>
      <c r="H316" s="3"/>
    </row>
    <row r="317">
      <c r="A317" s="75"/>
      <c r="B317" s="72" t="s">
        <v>155</v>
      </c>
      <c r="C317" s="2"/>
      <c r="D317" s="2"/>
      <c r="E317" s="2"/>
      <c r="F317" s="3"/>
      <c r="G317" s="72">
        <v>580134.0</v>
      </c>
      <c r="H317" s="3"/>
    </row>
    <row r="318">
      <c r="A318" s="57"/>
      <c r="B318" s="72" t="s">
        <v>156</v>
      </c>
      <c r="C318" s="2"/>
      <c r="D318" s="2"/>
      <c r="E318" s="2"/>
      <c r="F318" s="3"/>
      <c r="G318" s="72">
        <v>1400000.0</v>
      </c>
      <c r="H318" s="3"/>
    </row>
    <row r="319">
      <c r="A319" s="57"/>
      <c r="B319" s="72" t="s">
        <v>157</v>
      </c>
      <c r="C319" s="2"/>
      <c r="D319" s="2"/>
      <c r="E319" s="2"/>
      <c r="F319" s="3"/>
      <c r="G319" s="72">
        <v>385000.0</v>
      </c>
      <c r="H319" s="3"/>
    </row>
    <row r="320">
      <c r="A320" s="57"/>
      <c r="B320" s="72" t="s">
        <v>158</v>
      </c>
      <c r="C320" s="2"/>
      <c r="D320" s="2"/>
      <c r="E320" s="2"/>
      <c r="F320" s="3"/>
      <c r="G320" s="72">
        <v>636500.0</v>
      </c>
      <c r="H320" s="3"/>
    </row>
    <row r="321">
      <c r="A321" s="57"/>
      <c r="B321" s="72" t="s">
        <v>159</v>
      </c>
      <c r="C321" s="2"/>
      <c r="D321" s="2"/>
      <c r="E321" s="2"/>
      <c r="F321" s="3"/>
      <c r="G321" s="34">
        <f>SUM(G316:H320)</f>
        <v>8186259</v>
      </c>
      <c r="H321" s="3"/>
    </row>
    <row r="323">
      <c r="A323" s="80" t="s">
        <v>160</v>
      </c>
      <c r="B323" s="2"/>
      <c r="C323" s="2"/>
      <c r="D323" s="2"/>
      <c r="E323" s="2"/>
      <c r="F323" s="3"/>
      <c r="G323" s="34">
        <f>G313-G321</f>
        <v>-1160707</v>
      </c>
      <c r="H323" s="3"/>
    </row>
  </sheetData>
  <mergeCells count="154">
    <mergeCell ref="A209:C209"/>
    <mergeCell ref="A214:B214"/>
    <mergeCell ref="A215:L215"/>
    <mergeCell ref="A216:C216"/>
    <mergeCell ref="E216:L216"/>
    <mergeCell ref="A221:B221"/>
    <mergeCell ref="A222:C222"/>
    <mergeCell ref="F222:L222"/>
    <mergeCell ref="A223:L223"/>
    <mergeCell ref="A224:C224"/>
    <mergeCell ref="E224:L224"/>
    <mergeCell ref="A230:L230"/>
    <mergeCell ref="A231:C231"/>
    <mergeCell ref="E231:L231"/>
    <mergeCell ref="D232:D235"/>
    <mergeCell ref="D240:D243"/>
    <mergeCell ref="A244:B244"/>
    <mergeCell ref="A246:C246"/>
    <mergeCell ref="A229:B229"/>
    <mergeCell ref="A236:B236"/>
    <mergeCell ref="A237:C237"/>
    <mergeCell ref="F237:L237"/>
    <mergeCell ref="A238:L238"/>
    <mergeCell ref="A239:C239"/>
    <mergeCell ref="E239:L239"/>
    <mergeCell ref="F69:L69"/>
    <mergeCell ref="A70:L70"/>
    <mergeCell ref="E71:L71"/>
    <mergeCell ref="A104:L104"/>
    <mergeCell ref="E105:L105"/>
    <mergeCell ref="A1:L1"/>
    <mergeCell ref="A2:C2"/>
    <mergeCell ref="E2:L2"/>
    <mergeCell ref="A34:B34"/>
    <mergeCell ref="A35:L35"/>
    <mergeCell ref="A36:C36"/>
    <mergeCell ref="E36:L36"/>
    <mergeCell ref="A137:B137"/>
    <mergeCell ref="A138:C138"/>
    <mergeCell ref="F138:L138"/>
    <mergeCell ref="A139:L139"/>
    <mergeCell ref="A140:C140"/>
    <mergeCell ref="E140:L140"/>
    <mergeCell ref="A173:L173"/>
    <mergeCell ref="E174:L174"/>
    <mergeCell ref="D3:D33"/>
    <mergeCell ref="D37:D67"/>
    <mergeCell ref="A68:B68"/>
    <mergeCell ref="A69:C69"/>
    <mergeCell ref="A71:C71"/>
    <mergeCell ref="A103:B103"/>
    <mergeCell ref="A105:C105"/>
    <mergeCell ref="A172:B172"/>
    <mergeCell ref="A174:C174"/>
    <mergeCell ref="A206:B206"/>
    <mergeCell ref="A207:C207"/>
    <mergeCell ref="F207:L207"/>
    <mergeCell ref="A208:L208"/>
    <mergeCell ref="E209:L209"/>
    <mergeCell ref="D247:D250"/>
    <mergeCell ref="D255:D258"/>
    <mergeCell ref="A259:B259"/>
    <mergeCell ref="D72:D102"/>
    <mergeCell ref="D106:D136"/>
    <mergeCell ref="D141:D171"/>
    <mergeCell ref="D175:D205"/>
    <mergeCell ref="D210:D213"/>
    <mergeCell ref="D217:D220"/>
    <mergeCell ref="D225:D228"/>
    <mergeCell ref="A304:H305"/>
    <mergeCell ref="B306:F306"/>
    <mergeCell ref="G306:H306"/>
    <mergeCell ref="B307:F307"/>
    <mergeCell ref="G307:H307"/>
    <mergeCell ref="B308:F308"/>
    <mergeCell ref="G308:H308"/>
    <mergeCell ref="B309:F309"/>
    <mergeCell ref="G309:H309"/>
    <mergeCell ref="B310:F310"/>
    <mergeCell ref="G310:H310"/>
    <mergeCell ref="B311:F311"/>
    <mergeCell ref="G311:H311"/>
    <mergeCell ref="G312:H312"/>
    <mergeCell ref="B312:F312"/>
    <mergeCell ref="B313:F313"/>
    <mergeCell ref="G313:H313"/>
    <mergeCell ref="B314:F314"/>
    <mergeCell ref="G314:H314"/>
    <mergeCell ref="B315:F315"/>
    <mergeCell ref="G315:H315"/>
    <mergeCell ref="B319:F319"/>
    <mergeCell ref="B320:F320"/>
    <mergeCell ref="G320:H320"/>
    <mergeCell ref="B321:F321"/>
    <mergeCell ref="G321:H321"/>
    <mergeCell ref="A322:H322"/>
    <mergeCell ref="A323:F323"/>
    <mergeCell ref="G323:H323"/>
    <mergeCell ref="B316:F316"/>
    <mergeCell ref="G316:H316"/>
    <mergeCell ref="B317:F317"/>
    <mergeCell ref="G317:H317"/>
    <mergeCell ref="B318:F318"/>
    <mergeCell ref="G318:H318"/>
    <mergeCell ref="G319:H319"/>
    <mergeCell ref="A245:L245"/>
    <mergeCell ref="E246:L246"/>
    <mergeCell ref="A251:B251"/>
    <mergeCell ref="A252:C252"/>
    <mergeCell ref="F252:L252"/>
    <mergeCell ref="A253:L253"/>
    <mergeCell ref="A254:C254"/>
    <mergeCell ref="E254:L254"/>
    <mergeCell ref="A260:L260"/>
    <mergeCell ref="A261:C261"/>
    <mergeCell ref="E261:L261"/>
    <mergeCell ref="D262:D265"/>
    <mergeCell ref="A266:B266"/>
    <mergeCell ref="A267:C267"/>
    <mergeCell ref="F267:L267"/>
    <mergeCell ref="A268:L268"/>
    <mergeCell ref="A269:C269"/>
    <mergeCell ref="E269:L269"/>
    <mergeCell ref="D270:D273"/>
    <mergeCell ref="A274:B274"/>
    <mergeCell ref="A275:L275"/>
    <mergeCell ref="A276:C276"/>
    <mergeCell ref="E276:L276"/>
    <mergeCell ref="D277:D280"/>
    <mergeCell ref="A281:B281"/>
    <mergeCell ref="A282:C282"/>
    <mergeCell ref="F282:L282"/>
    <mergeCell ref="A283:L283"/>
    <mergeCell ref="A284:E284"/>
    <mergeCell ref="A285:C285"/>
    <mergeCell ref="A286:C286"/>
    <mergeCell ref="A287:C287"/>
    <mergeCell ref="A288:C288"/>
    <mergeCell ref="A289:C289"/>
    <mergeCell ref="A291:L291"/>
    <mergeCell ref="A290:C290"/>
    <mergeCell ref="A292:D292"/>
    <mergeCell ref="A293:D293"/>
    <mergeCell ref="F293:H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</mergeCells>
  <printOptions gridLines="1" horizontalCentered="1"/>
  <pageMargins bottom="0.75" footer="0.0" header="0.0" left="0.25" right="0.25" top="0.75"/>
  <pageSetup fitToHeight="0" paperSize="9" cellComments="atEnd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1.5"/>
    <col customWidth="1" min="3" max="3" width="14.38"/>
    <col customWidth="1" min="4" max="4" width="3.0"/>
    <col customWidth="1" min="11" max="11" width="11.75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3</v>
      </c>
      <c r="B2" s="2"/>
      <c r="C2" s="3"/>
      <c r="D2" s="5"/>
      <c r="E2" s="6" t="s">
        <v>4</v>
      </c>
      <c r="F2" s="2"/>
      <c r="G2" s="2"/>
      <c r="H2" s="2"/>
      <c r="I2" s="2"/>
      <c r="J2" s="2"/>
      <c r="K2" s="2"/>
      <c r="L2" s="3"/>
    </row>
    <row r="3">
      <c r="A3" s="7" t="s">
        <v>5</v>
      </c>
      <c r="B3" s="7" t="s">
        <v>6</v>
      </c>
      <c r="C3" s="7" t="s">
        <v>7</v>
      </c>
      <c r="D3" s="8"/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9" t="s">
        <v>13</v>
      </c>
      <c r="K3" s="9" t="s">
        <v>14</v>
      </c>
      <c r="L3" s="9" t="s">
        <v>15</v>
      </c>
    </row>
    <row r="4">
      <c r="A4" s="10">
        <v>1.0</v>
      </c>
      <c r="B4" s="11" t="s">
        <v>16</v>
      </c>
      <c r="C4" s="12">
        <f t="shared" ref="C4:C34" si="1">E4+F4+G4+H4+I4+J4+K4+L4</f>
        <v>277</v>
      </c>
      <c r="D4" s="13"/>
      <c r="E4" s="12">
        <v>37.0</v>
      </c>
      <c r="F4" s="12">
        <v>36.0</v>
      </c>
      <c r="G4" s="12">
        <v>13.0</v>
      </c>
      <c r="H4" s="12">
        <v>32.0</v>
      </c>
      <c r="I4" s="12">
        <v>128.0</v>
      </c>
      <c r="J4" s="12">
        <v>31.0</v>
      </c>
      <c r="K4" s="12">
        <v>0.0</v>
      </c>
      <c r="L4" s="12">
        <v>0.0</v>
      </c>
    </row>
    <row r="5">
      <c r="A5" s="10">
        <v>2.0</v>
      </c>
      <c r="B5" s="11" t="s">
        <v>17</v>
      </c>
      <c r="C5" s="12">
        <f t="shared" si="1"/>
        <v>690</v>
      </c>
      <c r="D5" s="13"/>
      <c r="E5" s="12">
        <v>59.0</v>
      </c>
      <c r="F5" s="12">
        <v>0.0</v>
      </c>
      <c r="G5" s="12">
        <v>0.0</v>
      </c>
      <c r="H5" s="12">
        <v>2.0</v>
      </c>
      <c r="I5" s="12">
        <v>0.0</v>
      </c>
      <c r="J5" s="12">
        <v>629.0</v>
      </c>
      <c r="K5" s="12">
        <v>0.0</v>
      </c>
      <c r="L5" s="12">
        <v>0.0</v>
      </c>
    </row>
    <row r="6">
      <c r="A6" s="10">
        <v>3.0</v>
      </c>
      <c r="B6" s="11" t="s">
        <v>18</v>
      </c>
      <c r="C6" s="12">
        <f t="shared" si="1"/>
        <v>818</v>
      </c>
      <c r="D6" s="13"/>
      <c r="E6" s="12">
        <v>0.0</v>
      </c>
      <c r="F6" s="12">
        <v>770.0</v>
      </c>
      <c r="G6" s="12">
        <v>0.0</v>
      </c>
      <c r="H6" s="12">
        <v>0.0</v>
      </c>
      <c r="I6" s="12">
        <v>47.0</v>
      </c>
      <c r="J6" s="12">
        <v>1.0</v>
      </c>
      <c r="K6" s="12">
        <v>0.0</v>
      </c>
      <c r="L6" s="12">
        <v>0.0</v>
      </c>
      <c r="M6" s="15" t="s">
        <v>22</v>
      </c>
      <c r="N6" s="15" t="s">
        <v>24</v>
      </c>
    </row>
    <row r="7">
      <c r="A7" s="10">
        <v>4.0</v>
      </c>
      <c r="B7" s="11" t="s">
        <v>19</v>
      </c>
      <c r="C7" s="12">
        <f t="shared" si="1"/>
        <v>237</v>
      </c>
      <c r="D7" s="13"/>
      <c r="E7" s="12">
        <v>128.0</v>
      </c>
      <c r="F7" s="12">
        <v>0.0</v>
      </c>
      <c r="G7" s="12">
        <v>8.0</v>
      </c>
      <c r="H7" s="12">
        <v>0.0</v>
      </c>
      <c r="I7" s="12">
        <v>0.0</v>
      </c>
      <c r="J7" s="12">
        <v>101.0</v>
      </c>
      <c r="K7" s="12">
        <v>0.0</v>
      </c>
      <c r="L7" s="12">
        <v>0.0</v>
      </c>
    </row>
    <row r="8">
      <c r="A8" s="10">
        <v>5.0</v>
      </c>
      <c r="B8" s="11" t="s">
        <v>20</v>
      </c>
      <c r="C8" s="12">
        <f t="shared" si="1"/>
        <v>566</v>
      </c>
      <c r="D8" s="13"/>
      <c r="E8" s="12">
        <v>388.0</v>
      </c>
      <c r="F8" s="12">
        <v>34.0</v>
      </c>
      <c r="G8" s="12">
        <v>8.0</v>
      </c>
      <c r="H8" s="12">
        <v>23.0</v>
      </c>
      <c r="I8" s="12">
        <v>35.0</v>
      </c>
      <c r="J8" s="12">
        <v>78.0</v>
      </c>
      <c r="K8" s="12">
        <v>0.0</v>
      </c>
      <c r="L8" s="12">
        <v>0.0</v>
      </c>
    </row>
    <row r="9">
      <c r="A9" s="10">
        <v>6.0</v>
      </c>
      <c r="B9" s="14" t="s">
        <v>21</v>
      </c>
      <c r="C9" s="12">
        <f t="shared" si="1"/>
        <v>360</v>
      </c>
      <c r="D9" s="13"/>
      <c r="E9" s="12">
        <v>47.0</v>
      </c>
      <c r="F9" s="12">
        <v>1.0</v>
      </c>
      <c r="G9" s="12">
        <v>2.0</v>
      </c>
      <c r="H9" s="12">
        <v>0.0</v>
      </c>
      <c r="I9" s="12">
        <v>1.0</v>
      </c>
      <c r="J9" s="12">
        <v>309.0</v>
      </c>
      <c r="K9" s="12">
        <v>0.0</v>
      </c>
      <c r="L9" s="12">
        <v>0.0</v>
      </c>
    </row>
    <row r="10">
      <c r="A10" s="10">
        <v>7.0</v>
      </c>
      <c r="B10" s="11" t="s">
        <v>23</v>
      </c>
      <c r="C10" s="12">
        <f t="shared" si="1"/>
        <v>4</v>
      </c>
      <c r="D10" s="13"/>
      <c r="E10" s="12">
        <v>0.0</v>
      </c>
      <c r="F10" s="12">
        <v>0.0</v>
      </c>
      <c r="G10" s="12">
        <v>0.0</v>
      </c>
      <c r="H10" s="12">
        <v>0.0</v>
      </c>
      <c r="I10" s="12">
        <v>0.0</v>
      </c>
      <c r="J10" s="12">
        <v>4.0</v>
      </c>
      <c r="K10" s="12">
        <v>0.0</v>
      </c>
      <c r="L10" s="12">
        <v>0.0</v>
      </c>
    </row>
    <row r="11">
      <c r="A11" s="10">
        <v>8.0</v>
      </c>
      <c r="B11" s="11" t="s">
        <v>25</v>
      </c>
      <c r="C11" s="12">
        <f t="shared" si="1"/>
        <v>4</v>
      </c>
      <c r="D11" s="13"/>
      <c r="E11" s="12">
        <v>0.0</v>
      </c>
      <c r="F11" s="12">
        <v>0.0</v>
      </c>
      <c r="G11" s="12">
        <v>0.0</v>
      </c>
      <c r="H11" s="12">
        <v>2.0</v>
      </c>
      <c r="I11" s="12">
        <v>0.0</v>
      </c>
      <c r="J11" s="12">
        <v>2.0</v>
      </c>
      <c r="K11" s="12">
        <v>0.0</v>
      </c>
      <c r="L11" s="12">
        <v>0.0</v>
      </c>
    </row>
    <row r="12">
      <c r="A12" s="10">
        <v>9.0</v>
      </c>
      <c r="B12" s="11" t="s">
        <v>26</v>
      </c>
      <c r="C12" s="12">
        <f t="shared" si="1"/>
        <v>399</v>
      </c>
      <c r="D12" s="13"/>
      <c r="E12" s="12">
        <v>153.0</v>
      </c>
      <c r="F12" s="12">
        <v>18.0</v>
      </c>
      <c r="G12" s="12">
        <v>0.0</v>
      </c>
      <c r="H12" s="12">
        <v>33.0</v>
      </c>
      <c r="I12" s="12">
        <v>2.0</v>
      </c>
      <c r="J12" s="12">
        <v>193.0</v>
      </c>
      <c r="K12" s="12">
        <v>0.0</v>
      </c>
      <c r="L12" s="12">
        <v>0.0</v>
      </c>
    </row>
    <row r="13">
      <c r="A13" s="10">
        <v>10.0</v>
      </c>
      <c r="B13" s="14" t="s">
        <v>27</v>
      </c>
      <c r="C13" s="12">
        <f t="shared" si="1"/>
        <v>38</v>
      </c>
      <c r="D13" s="13"/>
      <c r="E13" s="12">
        <v>38.0</v>
      </c>
      <c r="F13" s="12">
        <v>0.0</v>
      </c>
      <c r="G13" s="12">
        <v>0.0</v>
      </c>
      <c r="H13" s="12">
        <v>0.0</v>
      </c>
      <c r="I13" s="12">
        <v>0.0</v>
      </c>
      <c r="J13" s="12">
        <v>0.0</v>
      </c>
      <c r="K13" s="12">
        <v>0.0</v>
      </c>
      <c r="L13" s="12">
        <v>0.0</v>
      </c>
    </row>
    <row r="14">
      <c r="A14" s="10">
        <v>11.0</v>
      </c>
      <c r="B14" s="11" t="s">
        <v>28</v>
      </c>
      <c r="C14" s="12">
        <f t="shared" si="1"/>
        <v>393</v>
      </c>
      <c r="D14" s="13"/>
      <c r="E14" s="12">
        <v>42.0</v>
      </c>
      <c r="F14" s="12">
        <v>0.0</v>
      </c>
      <c r="G14" s="12">
        <v>0.0</v>
      </c>
      <c r="H14" s="12">
        <v>7.0</v>
      </c>
      <c r="I14" s="12">
        <v>0.0</v>
      </c>
      <c r="J14" s="12">
        <v>344.0</v>
      </c>
      <c r="K14" s="12">
        <v>0.0</v>
      </c>
      <c r="L14" s="12">
        <v>0.0</v>
      </c>
    </row>
    <row r="15">
      <c r="A15" s="10">
        <v>12.0</v>
      </c>
      <c r="B15" s="11" t="s">
        <v>29</v>
      </c>
      <c r="C15" s="12">
        <f t="shared" si="1"/>
        <v>349</v>
      </c>
      <c r="D15" s="13"/>
      <c r="E15" s="12">
        <v>0.0</v>
      </c>
      <c r="F15" s="12">
        <v>340.0</v>
      </c>
      <c r="G15" s="12">
        <v>1.0</v>
      </c>
      <c r="H15" s="12">
        <v>4.0</v>
      </c>
      <c r="I15" s="12">
        <v>3.0</v>
      </c>
      <c r="J15" s="12">
        <v>1.0</v>
      </c>
      <c r="K15" s="12">
        <v>0.0</v>
      </c>
      <c r="L15" s="12">
        <v>0.0</v>
      </c>
    </row>
    <row r="16">
      <c r="A16" s="10">
        <v>13.0</v>
      </c>
      <c r="B16" s="11" t="s">
        <v>30</v>
      </c>
      <c r="C16" s="12">
        <f t="shared" si="1"/>
        <v>98</v>
      </c>
      <c r="D16" s="13"/>
      <c r="E16" s="12">
        <v>8.0</v>
      </c>
      <c r="F16" s="12">
        <v>0.0</v>
      </c>
      <c r="G16" s="12">
        <v>0.0</v>
      </c>
      <c r="H16" s="12">
        <v>12.0</v>
      </c>
      <c r="I16" s="12">
        <v>0.0</v>
      </c>
      <c r="J16" s="12">
        <v>78.0</v>
      </c>
      <c r="K16" s="12">
        <v>0.0</v>
      </c>
      <c r="L16" s="12">
        <v>0.0</v>
      </c>
    </row>
    <row r="17">
      <c r="A17" s="10">
        <v>14.0</v>
      </c>
      <c r="B17" s="11" t="s">
        <v>31</v>
      </c>
      <c r="C17" s="12">
        <f t="shared" si="1"/>
        <v>28</v>
      </c>
      <c r="D17" s="13"/>
      <c r="E17" s="12">
        <v>22.0</v>
      </c>
      <c r="F17" s="12">
        <v>0.0</v>
      </c>
      <c r="G17" s="12">
        <v>0.0</v>
      </c>
      <c r="H17" s="12">
        <v>5.0</v>
      </c>
      <c r="I17" s="12">
        <v>1.0</v>
      </c>
      <c r="J17" s="12">
        <v>0.0</v>
      </c>
      <c r="K17" s="12">
        <v>0.0</v>
      </c>
      <c r="L17" s="12">
        <v>0.0</v>
      </c>
    </row>
    <row r="18">
      <c r="A18" s="10">
        <v>15.0</v>
      </c>
      <c r="B18" s="11" t="s">
        <v>32</v>
      </c>
      <c r="C18" s="12">
        <f t="shared" si="1"/>
        <v>17</v>
      </c>
      <c r="D18" s="13"/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17.0</v>
      </c>
      <c r="K18" s="12">
        <v>0.0</v>
      </c>
      <c r="L18" s="12">
        <v>0.0</v>
      </c>
    </row>
    <row r="19">
      <c r="A19" s="10">
        <v>16.0</v>
      </c>
      <c r="B19" s="14" t="s">
        <v>33</v>
      </c>
      <c r="C19" s="12">
        <f t="shared" si="1"/>
        <v>73</v>
      </c>
      <c r="D19" s="13"/>
      <c r="E19" s="12">
        <v>0.0</v>
      </c>
      <c r="F19" s="12">
        <v>0.0</v>
      </c>
      <c r="G19" s="12">
        <v>0.0</v>
      </c>
      <c r="H19" s="12">
        <v>10.0</v>
      </c>
      <c r="I19" s="12">
        <v>0.0</v>
      </c>
      <c r="J19" s="12">
        <v>63.0</v>
      </c>
      <c r="K19" s="12">
        <v>0.0</v>
      </c>
      <c r="L19" s="12">
        <v>0.0</v>
      </c>
    </row>
    <row r="20">
      <c r="A20" s="10">
        <v>17.0</v>
      </c>
      <c r="B20" s="14" t="s">
        <v>34</v>
      </c>
      <c r="C20" s="12">
        <f t="shared" si="1"/>
        <v>287</v>
      </c>
      <c r="D20" s="13"/>
      <c r="E20" s="12">
        <v>0.0</v>
      </c>
      <c r="F20" s="12">
        <v>155.0</v>
      </c>
      <c r="G20" s="12">
        <v>0.0</v>
      </c>
      <c r="H20" s="12">
        <v>9.0</v>
      </c>
      <c r="I20" s="12">
        <v>5.0</v>
      </c>
      <c r="J20" s="12">
        <v>118.0</v>
      </c>
      <c r="K20" s="12">
        <v>0.0</v>
      </c>
      <c r="L20" s="12">
        <v>0.0</v>
      </c>
    </row>
    <row r="21">
      <c r="A21" s="10">
        <v>18.0</v>
      </c>
      <c r="B21" s="14" t="s">
        <v>35</v>
      </c>
      <c r="C21" s="12">
        <f t="shared" si="1"/>
        <v>0</v>
      </c>
      <c r="D21" s="13"/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</row>
    <row r="22">
      <c r="A22" s="16">
        <v>19.0</v>
      </c>
      <c r="B22" s="11" t="s">
        <v>36</v>
      </c>
      <c r="C22" s="12">
        <f t="shared" si="1"/>
        <v>96</v>
      </c>
      <c r="D22" s="13"/>
      <c r="E22" s="12">
        <v>33.0</v>
      </c>
      <c r="F22" s="12">
        <v>17.0</v>
      </c>
      <c r="G22" s="12">
        <v>22.0</v>
      </c>
      <c r="H22" s="12">
        <v>17.0</v>
      </c>
      <c r="I22" s="12">
        <v>3.0</v>
      </c>
      <c r="J22" s="12">
        <v>4.0</v>
      </c>
      <c r="K22" s="12">
        <v>0.0</v>
      </c>
      <c r="L22" s="12">
        <v>0.0</v>
      </c>
    </row>
    <row r="23">
      <c r="A23" s="16">
        <v>20.0</v>
      </c>
      <c r="B23" s="14" t="s">
        <v>37</v>
      </c>
      <c r="C23" s="12">
        <f t="shared" si="1"/>
        <v>49</v>
      </c>
      <c r="D23" s="13"/>
      <c r="E23" s="12">
        <v>47.0</v>
      </c>
      <c r="F23" s="12">
        <v>0.0</v>
      </c>
      <c r="G23" s="12">
        <v>0.0</v>
      </c>
      <c r="H23" s="12">
        <v>0.0</v>
      </c>
      <c r="I23" s="12">
        <v>2.0</v>
      </c>
      <c r="J23" s="12">
        <v>0.0</v>
      </c>
      <c r="K23" s="12">
        <v>0.0</v>
      </c>
      <c r="L23" s="12">
        <v>0.0</v>
      </c>
      <c r="N23" s="15" t="s">
        <v>0</v>
      </c>
    </row>
    <row r="24">
      <c r="A24" s="10">
        <v>21.0</v>
      </c>
      <c r="B24" s="11" t="s">
        <v>41</v>
      </c>
      <c r="C24" s="12">
        <f t="shared" si="1"/>
        <v>4</v>
      </c>
      <c r="D24" s="13"/>
      <c r="E24" s="12">
        <v>0.0</v>
      </c>
      <c r="F24" s="12">
        <v>0.0</v>
      </c>
      <c r="G24" s="12">
        <v>0.0</v>
      </c>
      <c r="H24" s="12">
        <v>4.0</v>
      </c>
      <c r="I24" s="12">
        <v>0.0</v>
      </c>
      <c r="J24" s="12">
        <v>0.0</v>
      </c>
      <c r="K24" s="12">
        <v>0.0</v>
      </c>
      <c r="L24" s="12">
        <v>0.0</v>
      </c>
    </row>
    <row r="25">
      <c r="A25" s="10">
        <v>22.0</v>
      </c>
      <c r="B25" s="11" t="s">
        <v>39</v>
      </c>
      <c r="C25" s="12">
        <f t="shared" si="1"/>
        <v>185</v>
      </c>
      <c r="D25" s="13"/>
      <c r="E25" s="12">
        <v>157.0</v>
      </c>
      <c r="F25" s="12">
        <v>10.0</v>
      </c>
      <c r="G25" s="12">
        <v>13.0</v>
      </c>
      <c r="H25" s="12">
        <v>5.0</v>
      </c>
      <c r="I25" s="12">
        <v>0.0</v>
      </c>
      <c r="J25" s="12">
        <v>0.0</v>
      </c>
      <c r="K25" s="12">
        <v>0.0</v>
      </c>
      <c r="L25" s="12">
        <v>0.0</v>
      </c>
    </row>
    <row r="26">
      <c r="A26" s="10">
        <v>23.0</v>
      </c>
      <c r="B26" s="14" t="s">
        <v>40</v>
      </c>
      <c r="C26" s="12">
        <f t="shared" si="1"/>
        <v>397</v>
      </c>
      <c r="D26" s="13"/>
      <c r="E26" s="12">
        <v>338.0</v>
      </c>
      <c r="F26" s="12">
        <v>23.0</v>
      </c>
      <c r="G26" s="12">
        <v>0.0</v>
      </c>
      <c r="H26" s="12">
        <v>25.0</v>
      </c>
      <c r="I26" s="12">
        <v>9.0</v>
      </c>
      <c r="J26" s="12">
        <v>2.0</v>
      </c>
      <c r="K26" s="12">
        <v>0.0</v>
      </c>
      <c r="L26" s="12">
        <v>0.0</v>
      </c>
    </row>
    <row r="27">
      <c r="A27" s="10">
        <v>24.0</v>
      </c>
      <c r="B27" s="14" t="s">
        <v>42</v>
      </c>
      <c r="C27" s="12">
        <f t="shared" si="1"/>
        <v>34</v>
      </c>
      <c r="D27" s="13"/>
      <c r="E27" s="12">
        <v>28.0</v>
      </c>
      <c r="F27" s="12">
        <v>0.0</v>
      </c>
      <c r="G27" s="12">
        <v>0.0</v>
      </c>
      <c r="H27" s="12">
        <v>0.0</v>
      </c>
      <c r="I27" s="12">
        <v>0.0</v>
      </c>
      <c r="J27" s="12">
        <v>6.0</v>
      </c>
      <c r="K27" s="12">
        <v>0.0</v>
      </c>
      <c r="L27" s="12">
        <v>0.0</v>
      </c>
    </row>
    <row r="28">
      <c r="A28" s="10">
        <v>25.0</v>
      </c>
      <c r="B28" s="14" t="s">
        <v>43</v>
      </c>
      <c r="C28" s="12">
        <f t="shared" si="1"/>
        <v>30</v>
      </c>
      <c r="D28" s="13"/>
      <c r="E28" s="12">
        <v>26.0</v>
      </c>
      <c r="F28" s="12">
        <v>0.0</v>
      </c>
      <c r="G28" s="12">
        <v>0.0</v>
      </c>
      <c r="H28" s="12">
        <v>0.0</v>
      </c>
      <c r="I28" s="12">
        <v>0.0</v>
      </c>
      <c r="J28" s="12">
        <v>4.0</v>
      </c>
      <c r="K28" s="12">
        <v>0.0</v>
      </c>
      <c r="L28" s="12">
        <v>0.0</v>
      </c>
    </row>
    <row r="29">
      <c r="A29" s="10">
        <v>26.0</v>
      </c>
      <c r="B29" s="11" t="s">
        <v>44</v>
      </c>
      <c r="C29" s="12">
        <f t="shared" si="1"/>
        <v>618</v>
      </c>
      <c r="D29" s="13"/>
      <c r="E29" s="12">
        <v>0.0</v>
      </c>
      <c r="F29" s="12">
        <v>245.0</v>
      </c>
      <c r="G29" s="12">
        <v>0.0</v>
      </c>
      <c r="H29" s="12">
        <v>373.0</v>
      </c>
      <c r="I29" s="12">
        <v>0.0</v>
      </c>
      <c r="J29" s="12">
        <v>0.0</v>
      </c>
      <c r="K29" s="12">
        <v>0.0</v>
      </c>
      <c r="L29" s="12">
        <v>0.0</v>
      </c>
    </row>
    <row r="30">
      <c r="A30" s="10">
        <v>27.0</v>
      </c>
      <c r="B30" s="11" t="s">
        <v>45</v>
      </c>
      <c r="C30" s="12">
        <f t="shared" si="1"/>
        <v>11</v>
      </c>
      <c r="D30" s="13"/>
      <c r="E30" s="12">
        <v>11.0</v>
      </c>
      <c r="F30" s="12">
        <v>0.0</v>
      </c>
      <c r="G30" s="12">
        <v>0.0</v>
      </c>
      <c r="H30" s="12">
        <v>0.0</v>
      </c>
      <c r="I30" s="12">
        <v>0.0</v>
      </c>
      <c r="J30" s="12">
        <v>0.0</v>
      </c>
      <c r="K30" s="12">
        <v>0.0</v>
      </c>
      <c r="L30" s="12">
        <v>0.0</v>
      </c>
    </row>
    <row r="31">
      <c r="A31" s="10">
        <v>28.0</v>
      </c>
      <c r="B31" s="17" t="s">
        <v>46</v>
      </c>
      <c r="C31" s="12">
        <f t="shared" si="1"/>
        <v>13</v>
      </c>
      <c r="D31" s="13"/>
      <c r="E31" s="12">
        <v>0.0</v>
      </c>
      <c r="F31" s="12">
        <v>0.0</v>
      </c>
      <c r="G31" s="12">
        <v>0.0</v>
      </c>
      <c r="H31" s="12">
        <v>0.0</v>
      </c>
      <c r="I31" s="12">
        <v>13.0</v>
      </c>
      <c r="J31" s="12">
        <v>0.0</v>
      </c>
      <c r="K31" s="12">
        <v>0.0</v>
      </c>
      <c r="L31" s="12">
        <v>0.0</v>
      </c>
    </row>
    <row r="32">
      <c r="A32" s="10">
        <v>29.0</v>
      </c>
      <c r="B32" s="11" t="s">
        <v>15</v>
      </c>
      <c r="C32" s="12">
        <f t="shared" si="1"/>
        <v>0</v>
      </c>
      <c r="D32" s="13"/>
      <c r="E32" s="12">
        <v>0.0</v>
      </c>
      <c r="F32" s="12">
        <v>0.0</v>
      </c>
      <c r="G32" s="12">
        <v>0.0</v>
      </c>
      <c r="H32" s="12">
        <v>0.0</v>
      </c>
      <c r="I32" s="12">
        <v>0.0</v>
      </c>
      <c r="J32" s="12">
        <v>0.0</v>
      </c>
      <c r="K32" s="12">
        <v>0.0</v>
      </c>
      <c r="L32" s="12">
        <v>0.0</v>
      </c>
    </row>
    <row r="33">
      <c r="A33" s="10">
        <v>30.0</v>
      </c>
      <c r="B33" s="11" t="s">
        <v>47</v>
      </c>
      <c r="C33" s="12">
        <f t="shared" si="1"/>
        <v>0</v>
      </c>
      <c r="D33" s="18"/>
      <c r="E33" s="12">
        <v>0.0</v>
      </c>
      <c r="F33" s="12">
        <v>0.0</v>
      </c>
      <c r="G33" s="12">
        <v>0.0</v>
      </c>
      <c r="H33" s="12">
        <v>0.0</v>
      </c>
      <c r="I33" s="12">
        <v>0.0</v>
      </c>
      <c r="J33" s="12">
        <v>0.0</v>
      </c>
      <c r="K33" s="12">
        <v>0.0</v>
      </c>
      <c r="L33" s="12">
        <v>0.0</v>
      </c>
    </row>
    <row r="34">
      <c r="A34" s="19" t="s">
        <v>48</v>
      </c>
      <c r="B34" s="3"/>
      <c r="C34" s="12">
        <f t="shared" si="1"/>
        <v>6075</v>
      </c>
      <c r="D34" s="21"/>
      <c r="E34" s="20">
        <f t="shared" ref="E34:L34" si="2">SUM(E4:E33)</f>
        <v>1562</v>
      </c>
      <c r="F34" s="20">
        <f t="shared" si="2"/>
        <v>1649</v>
      </c>
      <c r="G34" s="20">
        <f t="shared" si="2"/>
        <v>67</v>
      </c>
      <c r="H34" s="20">
        <f t="shared" si="2"/>
        <v>563</v>
      </c>
      <c r="I34" s="20">
        <f t="shared" si="2"/>
        <v>249</v>
      </c>
      <c r="J34" s="22">
        <f t="shared" si="2"/>
        <v>1985</v>
      </c>
      <c r="K34" s="20">
        <f t="shared" si="2"/>
        <v>0</v>
      </c>
      <c r="L34" s="20">
        <f t="shared" si="2"/>
        <v>0</v>
      </c>
    </row>
    <row r="35">
      <c r="A35" s="23"/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</row>
    <row r="36">
      <c r="A36" s="24" t="s">
        <v>49</v>
      </c>
      <c r="B36" s="2"/>
      <c r="C36" s="3"/>
      <c r="D36" s="25"/>
      <c r="E36" s="26" t="s">
        <v>50</v>
      </c>
      <c r="F36" s="2"/>
      <c r="G36" s="2"/>
      <c r="H36" s="2"/>
      <c r="I36" s="2"/>
      <c r="J36" s="2"/>
      <c r="K36" s="2"/>
      <c r="L36" s="3"/>
    </row>
    <row r="37">
      <c r="A37" s="7" t="s">
        <v>5</v>
      </c>
      <c r="B37" s="7" t="s">
        <v>51</v>
      </c>
      <c r="C37" s="7" t="s">
        <v>7</v>
      </c>
      <c r="D37" s="8"/>
      <c r="E37" s="9" t="s">
        <v>8</v>
      </c>
      <c r="F37" s="9" t="s">
        <v>9</v>
      </c>
      <c r="G37" s="9" t="s">
        <v>10</v>
      </c>
      <c r="H37" s="9" t="s">
        <v>11</v>
      </c>
      <c r="I37" s="9" t="s">
        <v>12</v>
      </c>
      <c r="J37" s="9" t="s">
        <v>13</v>
      </c>
      <c r="K37" s="9" t="s">
        <v>14</v>
      </c>
      <c r="L37" s="9" t="s">
        <v>15</v>
      </c>
    </row>
    <row r="38">
      <c r="A38" s="27">
        <v>1.0</v>
      </c>
      <c r="B38" s="17" t="s">
        <v>16</v>
      </c>
      <c r="C38" s="7">
        <f t="shared" ref="C38:C67" si="3">E38+F38+G38+H38+I38+J38+K38+L38</f>
        <v>162</v>
      </c>
      <c r="D38" s="13"/>
      <c r="E38" s="7">
        <v>0.0</v>
      </c>
      <c r="F38" s="7">
        <v>0.0</v>
      </c>
      <c r="G38" s="7">
        <v>0.0</v>
      </c>
      <c r="H38" s="7">
        <v>0.0</v>
      </c>
      <c r="I38" s="7">
        <v>162.0</v>
      </c>
      <c r="J38" s="7">
        <v>0.0</v>
      </c>
      <c r="K38" s="7">
        <v>0.0</v>
      </c>
      <c r="L38" s="7">
        <v>0.0</v>
      </c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10">
        <v>2.0</v>
      </c>
      <c r="B39" s="11" t="s">
        <v>17</v>
      </c>
      <c r="C39" s="12">
        <f t="shared" si="3"/>
        <v>0</v>
      </c>
      <c r="D39" s="13"/>
      <c r="E39" s="12">
        <v>0.0</v>
      </c>
      <c r="F39" s="12">
        <v>0.0</v>
      </c>
      <c r="G39" s="12">
        <v>0.0</v>
      </c>
      <c r="H39" s="12">
        <v>0.0</v>
      </c>
      <c r="I39" s="12">
        <v>0.0</v>
      </c>
      <c r="J39" s="12">
        <v>0.0</v>
      </c>
      <c r="K39" s="12">
        <v>0.0</v>
      </c>
      <c r="L39" s="12">
        <v>0.0</v>
      </c>
    </row>
    <row r="40">
      <c r="A40" s="27">
        <v>3.0</v>
      </c>
      <c r="B40" s="17" t="s">
        <v>18</v>
      </c>
      <c r="C40" s="7">
        <f t="shared" si="3"/>
        <v>246</v>
      </c>
      <c r="D40" s="13"/>
      <c r="E40" s="7">
        <v>0.0</v>
      </c>
      <c r="F40" s="7">
        <v>246.0</v>
      </c>
      <c r="G40" s="7">
        <v>0.0</v>
      </c>
      <c r="H40" s="7">
        <v>0.0</v>
      </c>
      <c r="I40" s="7">
        <v>0.0</v>
      </c>
      <c r="J40" s="7">
        <v>0.0</v>
      </c>
      <c r="K40" s="7">
        <v>0.0</v>
      </c>
      <c r="L40" s="7">
        <v>0.0</v>
      </c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>
      <c r="A41" s="10">
        <v>4.0</v>
      </c>
      <c r="B41" s="11" t="s">
        <v>19</v>
      </c>
      <c r="C41" s="12">
        <f t="shared" si="3"/>
        <v>0</v>
      </c>
      <c r="D41" s="13"/>
      <c r="E41" s="12">
        <v>0.0</v>
      </c>
      <c r="F41" s="12">
        <v>0.0</v>
      </c>
      <c r="G41" s="12">
        <v>0.0</v>
      </c>
      <c r="H41" s="12">
        <v>0.0</v>
      </c>
      <c r="I41" s="12">
        <v>0.0</v>
      </c>
      <c r="J41" s="12">
        <v>0.0</v>
      </c>
      <c r="K41" s="12">
        <v>0.0</v>
      </c>
      <c r="L41" s="12">
        <v>0.0</v>
      </c>
    </row>
    <row r="42">
      <c r="A42" s="10">
        <v>5.0</v>
      </c>
      <c r="B42" s="17" t="s">
        <v>20</v>
      </c>
      <c r="C42" s="7">
        <f t="shared" si="3"/>
        <v>618</v>
      </c>
      <c r="D42" s="13"/>
      <c r="E42" s="7">
        <v>618.0</v>
      </c>
      <c r="F42" s="12">
        <v>0.0</v>
      </c>
      <c r="G42" s="12">
        <v>0.0</v>
      </c>
      <c r="H42" s="12">
        <v>0.0</v>
      </c>
      <c r="I42" s="12">
        <v>0.0</v>
      </c>
      <c r="J42" s="12">
        <v>0.0</v>
      </c>
      <c r="K42" s="12">
        <v>0.0</v>
      </c>
      <c r="L42" s="12">
        <v>0.0</v>
      </c>
    </row>
    <row r="43">
      <c r="A43" s="10">
        <v>6.0</v>
      </c>
      <c r="B43" s="14" t="s">
        <v>21</v>
      </c>
      <c r="C43" s="12">
        <f t="shared" si="3"/>
        <v>0</v>
      </c>
      <c r="D43" s="13"/>
      <c r="E43" s="12">
        <v>0.0</v>
      </c>
      <c r="F43" s="12">
        <v>0.0</v>
      </c>
      <c r="G43" s="12">
        <v>0.0</v>
      </c>
      <c r="H43" s="12">
        <v>0.0</v>
      </c>
      <c r="I43" s="12">
        <v>0.0</v>
      </c>
      <c r="J43" s="12">
        <v>0.0</v>
      </c>
      <c r="K43" s="12">
        <v>0.0</v>
      </c>
      <c r="L43" s="12">
        <v>0.0</v>
      </c>
    </row>
    <row r="44">
      <c r="A44" s="10">
        <v>7.0</v>
      </c>
      <c r="B44" s="11" t="s">
        <v>23</v>
      </c>
      <c r="C44" s="12">
        <f t="shared" si="3"/>
        <v>0</v>
      </c>
      <c r="D44" s="13"/>
      <c r="E44" s="12">
        <v>0.0</v>
      </c>
      <c r="F44" s="12">
        <v>0.0</v>
      </c>
      <c r="G44" s="12">
        <v>0.0</v>
      </c>
      <c r="H44" s="12">
        <v>0.0</v>
      </c>
      <c r="I44" s="12">
        <v>0.0</v>
      </c>
      <c r="J44" s="12">
        <v>0.0</v>
      </c>
      <c r="K44" s="12">
        <v>0.0</v>
      </c>
      <c r="L44" s="12">
        <v>0.0</v>
      </c>
    </row>
    <row r="45">
      <c r="A45" s="10">
        <v>8.0</v>
      </c>
      <c r="B45" s="11" t="s">
        <v>25</v>
      </c>
      <c r="C45" s="12">
        <f t="shared" si="3"/>
        <v>0</v>
      </c>
      <c r="D45" s="13"/>
      <c r="E45" s="12">
        <v>0.0</v>
      </c>
      <c r="F45" s="12">
        <v>0.0</v>
      </c>
      <c r="G45" s="12">
        <v>0.0</v>
      </c>
      <c r="H45" s="12">
        <v>0.0</v>
      </c>
      <c r="I45" s="12">
        <v>0.0</v>
      </c>
      <c r="J45" s="12">
        <v>0.0</v>
      </c>
      <c r="K45" s="12">
        <v>0.0</v>
      </c>
      <c r="L45" s="12">
        <v>0.0</v>
      </c>
    </row>
    <row r="46">
      <c r="A46" s="10">
        <v>9.0</v>
      </c>
      <c r="B46" s="11" t="s">
        <v>26</v>
      </c>
      <c r="C46" s="12">
        <f t="shared" si="3"/>
        <v>0</v>
      </c>
      <c r="D46" s="13"/>
      <c r="E46" s="12">
        <v>0.0</v>
      </c>
      <c r="F46" s="12">
        <v>0.0</v>
      </c>
      <c r="G46" s="12">
        <v>0.0</v>
      </c>
      <c r="H46" s="12">
        <v>0.0</v>
      </c>
      <c r="I46" s="12">
        <v>0.0</v>
      </c>
      <c r="J46" s="12">
        <v>0.0</v>
      </c>
      <c r="K46" s="12">
        <v>0.0</v>
      </c>
      <c r="L46" s="12">
        <v>0.0</v>
      </c>
    </row>
    <row r="47">
      <c r="A47" s="10">
        <v>10.0</v>
      </c>
      <c r="B47" s="14" t="s">
        <v>27</v>
      </c>
      <c r="C47" s="12">
        <f t="shared" si="3"/>
        <v>0</v>
      </c>
      <c r="D47" s="13"/>
      <c r="E47" s="12">
        <v>0.0</v>
      </c>
      <c r="F47" s="12">
        <v>0.0</v>
      </c>
      <c r="G47" s="12">
        <v>0.0</v>
      </c>
      <c r="H47" s="12">
        <v>0.0</v>
      </c>
      <c r="I47" s="12">
        <v>0.0</v>
      </c>
      <c r="J47" s="12">
        <v>0.0</v>
      </c>
      <c r="K47" s="12">
        <v>0.0</v>
      </c>
      <c r="L47" s="12">
        <v>0.0</v>
      </c>
    </row>
    <row r="48">
      <c r="A48" s="10">
        <v>11.0</v>
      </c>
      <c r="B48" s="11" t="s">
        <v>28</v>
      </c>
      <c r="C48" s="12">
        <f t="shared" si="3"/>
        <v>0</v>
      </c>
      <c r="D48" s="13"/>
      <c r="E48" s="12">
        <v>0.0</v>
      </c>
      <c r="F48" s="12">
        <v>0.0</v>
      </c>
      <c r="G48" s="12">
        <v>0.0</v>
      </c>
      <c r="H48" s="12">
        <v>0.0</v>
      </c>
      <c r="I48" s="12">
        <v>0.0</v>
      </c>
      <c r="J48" s="12">
        <v>0.0</v>
      </c>
      <c r="K48" s="12">
        <v>0.0</v>
      </c>
      <c r="L48" s="12">
        <v>0.0</v>
      </c>
    </row>
    <row r="49">
      <c r="A49" s="27">
        <v>12.0</v>
      </c>
      <c r="B49" s="17" t="s">
        <v>29</v>
      </c>
      <c r="C49" s="7">
        <f t="shared" si="3"/>
        <v>180</v>
      </c>
      <c r="D49" s="13"/>
      <c r="E49" s="7">
        <v>0.0</v>
      </c>
      <c r="F49" s="7">
        <v>180.0</v>
      </c>
      <c r="G49" s="7">
        <v>0.0</v>
      </c>
      <c r="H49" s="7">
        <v>0.0</v>
      </c>
      <c r="I49" s="7">
        <v>0.0</v>
      </c>
      <c r="J49" s="7">
        <v>0.0</v>
      </c>
      <c r="K49" s="7">
        <v>0.0</v>
      </c>
      <c r="L49" s="7">
        <v>0.0</v>
      </c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>
      <c r="A50" s="10">
        <v>13.0</v>
      </c>
      <c r="B50" s="11" t="s">
        <v>30</v>
      </c>
      <c r="C50" s="12">
        <f t="shared" si="3"/>
        <v>0</v>
      </c>
      <c r="D50" s="13"/>
      <c r="E50" s="12">
        <v>0.0</v>
      </c>
      <c r="F50" s="12">
        <v>0.0</v>
      </c>
      <c r="G50" s="12">
        <v>0.0</v>
      </c>
      <c r="H50" s="12">
        <v>0.0</v>
      </c>
      <c r="I50" s="12">
        <v>0.0</v>
      </c>
      <c r="J50" s="12">
        <v>0.0</v>
      </c>
      <c r="K50" s="12">
        <v>0.0</v>
      </c>
      <c r="L50" s="12">
        <v>0.0</v>
      </c>
    </row>
    <row r="51">
      <c r="A51" s="10">
        <v>14.0</v>
      </c>
      <c r="B51" s="11" t="s">
        <v>31</v>
      </c>
      <c r="C51" s="12">
        <f t="shared" si="3"/>
        <v>0</v>
      </c>
      <c r="D51" s="13"/>
      <c r="E51" s="12">
        <v>0.0</v>
      </c>
      <c r="F51" s="12">
        <v>0.0</v>
      </c>
      <c r="G51" s="12">
        <v>0.0</v>
      </c>
      <c r="H51" s="12">
        <v>0.0</v>
      </c>
      <c r="I51" s="12">
        <v>0.0</v>
      </c>
      <c r="J51" s="12">
        <v>0.0</v>
      </c>
      <c r="K51" s="12">
        <v>0.0</v>
      </c>
      <c r="L51" s="12">
        <v>0.0</v>
      </c>
    </row>
    <row r="52">
      <c r="A52" s="10">
        <v>15.0</v>
      </c>
      <c r="B52" s="11" t="s">
        <v>32</v>
      </c>
      <c r="C52" s="12">
        <f t="shared" si="3"/>
        <v>0</v>
      </c>
      <c r="D52" s="13"/>
      <c r="E52" s="12">
        <v>0.0</v>
      </c>
      <c r="F52" s="12">
        <v>0.0</v>
      </c>
      <c r="G52" s="12">
        <v>0.0</v>
      </c>
      <c r="H52" s="12">
        <v>0.0</v>
      </c>
      <c r="I52" s="12">
        <v>0.0</v>
      </c>
      <c r="J52" s="12">
        <v>0.0</v>
      </c>
      <c r="K52" s="12">
        <v>0.0</v>
      </c>
      <c r="L52" s="12">
        <v>0.0</v>
      </c>
    </row>
    <row r="53">
      <c r="A53" s="10">
        <v>16.0</v>
      </c>
      <c r="B53" s="14" t="s">
        <v>33</v>
      </c>
      <c r="C53" s="12">
        <f t="shared" si="3"/>
        <v>0</v>
      </c>
      <c r="D53" s="13"/>
      <c r="E53" s="12">
        <v>0.0</v>
      </c>
      <c r="F53" s="12">
        <v>0.0</v>
      </c>
      <c r="G53" s="12">
        <v>0.0</v>
      </c>
      <c r="H53" s="12">
        <v>0.0</v>
      </c>
      <c r="I53" s="12">
        <v>0.0</v>
      </c>
      <c r="J53" s="12">
        <v>0.0</v>
      </c>
      <c r="K53" s="12">
        <v>0.0</v>
      </c>
      <c r="L53" s="12">
        <v>0.0</v>
      </c>
    </row>
    <row r="54">
      <c r="A54" s="10">
        <v>17.0</v>
      </c>
      <c r="B54" s="29" t="s">
        <v>34</v>
      </c>
      <c r="C54" s="7">
        <f t="shared" si="3"/>
        <v>0</v>
      </c>
      <c r="D54" s="13"/>
      <c r="E54" s="12">
        <v>0.0</v>
      </c>
      <c r="F54" s="7">
        <v>0.0</v>
      </c>
      <c r="G54" s="12">
        <v>0.0</v>
      </c>
      <c r="H54" s="12">
        <v>0.0</v>
      </c>
      <c r="I54" s="12">
        <v>0.0</v>
      </c>
      <c r="J54" s="12">
        <v>0.0</v>
      </c>
      <c r="K54" s="12">
        <v>0.0</v>
      </c>
      <c r="L54" s="12">
        <v>0.0</v>
      </c>
    </row>
    <row r="55">
      <c r="A55" s="10">
        <v>18.0</v>
      </c>
      <c r="B55" s="14" t="s">
        <v>35</v>
      </c>
      <c r="C55" s="12">
        <f t="shared" si="3"/>
        <v>0</v>
      </c>
      <c r="D55" s="13"/>
      <c r="E55" s="12">
        <v>0.0</v>
      </c>
      <c r="F55" s="12">
        <v>0.0</v>
      </c>
      <c r="G55" s="12">
        <v>0.0</v>
      </c>
      <c r="H55" s="12">
        <v>0.0</v>
      </c>
      <c r="I55" s="12">
        <v>0.0</v>
      </c>
      <c r="J55" s="12">
        <v>0.0</v>
      </c>
      <c r="K55" s="12">
        <v>0.0</v>
      </c>
      <c r="L55" s="12">
        <v>0.0</v>
      </c>
    </row>
    <row r="56">
      <c r="A56" s="16">
        <v>19.0</v>
      </c>
      <c r="B56" s="17" t="s">
        <v>36</v>
      </c>
      <c r="C56" s="7">
        <f t="shared" si="3"/>
        <v>1293</v>
      </c>
      <c r="D56" s="13"/>
      <c r="E56" s="12">
        <v>0.0</v>
      </c>
      <c r="F56" s="12">
        <v>0.0</v>
      </c>
      <c r="G56" s="7">
        <v>1293.0</v>
      </c>
      <c r="H56" s="12">
        <v>0.0</v>
      </c>
      <c r="I56" s="12">
        <v>0.0</v>
      </c>
      <c r="J56" s="12">
        <v>0.0</v>
      </c>
      <c r="K56" s="12">
        <v>0.0</v>
      </c>
      <c r="L56" s="12">
        <v>0.0</v>
      </c>
      <c r="M56" s="15" t="s">
        <v>57</v>
      </c>
    </row>
    <row r="57">
      <c r="A57" s="16">
        <v>20.0</v>
      </c>
      <c r="B57" s="14" t="s">
        <v>37</v>
      </c>
      <c r="C57" s="12">
        <f t="shared" si="3"/>
        <v>0</v>
      </c>
      <c r="D57" s="13"/>
      <c r="E57" s="12">
        <v>0.0</v>
      </c>
      <c r="F57" s="12">
        <v>0.0</v>
      </c>
      <c r="G57" s="12">
        <v>0.0</v>
      </c>
      <c r="H57" s="12">
        <v>0.0</v>
      </c>
      <c r="I57" s="12">
        <v>0.0</v>
      </c>
      <c r="J57" s="12">
        <v>0.0</v>
      </c>
      <c r="K57" s="12">
        <v>0.0</v>
      </c>
      <c r="L57" s="12">
        <v>0.0</v>
      </c>
    </row>
    <row r="58">
      <c r="A58" s="10">
        <v>21.0</v>
      </c>
      <c r="B58" s="11" t="s">
        <v>38</v>
      </c>
      <c r="C58" s="12">
        <f t="shared" si="3"/>
        <v>0</v>
      </c>
      <c r="D58" s="13"/>
      <c r="E58" s="12">
        <v>0.0</v>
      </c>
      <c r="F58" s="12">
        <v>0.0</v>
      </c>
      <c r="G58" s="12">
        <v>0.0</v>
      </c>
      <c r="H58" s="12">
        <v>0.0</v>
      </c>
      <c r="I58" s="12">
        <v>0.0</v>
      </c>
      <c r="J58" s="12">
        <v>0.0</v>
      </c>
      <c r="K58" s="12">
        <v>0.0</v>
      </c>
      <c r="L58" s="12">
        <v>0.0</v>
      </c>
    </row>
    <row r="59">
      <c r="A59" s="10">
        <v>22.0</v>
      </c>
      <c r="B59" s="11" t="s">
        <v>39</v>
      </c>
      <c r="C59" s="12">
        <f t="shared" si="3"/>
        <v>0</v>
      </c>
      <c r="D59" s="13"/>
      <c r="E59" s="12">
        <v>0.0</v>
      </c>
      <c r="F59" s="12">
        <v>0.0</v>
      </c>
      <c r="G59" s="12">
        <v>0.0</v>
      </c>
      <c r="H59" s="12">
        <v>0.0</v>
      </c>
      <c r="I59" s="12">
        <v>0.0</v>
      </c>
      <c r="J59" s="12">
        <v>0.0</v>
      </c>
      <c r="K59" s="12">
        <v>0.0</v>
      </c>
      <c r="L59" s="12">
        <v>0.0</v>
      </c>
    </row>
    <row r="60">
      <c r="A60" s="10">
        <v>23.0</v>
      </c>
      <c r="B60" s="14" t="s">
        <v>40</v>
      </c>
      <c r="C60" s="12">
        <f t="shared" si="3"/>
        <v>0</v>
      </c>
      <c r="D60" s="13"/>
      <c r="E60" s="12">
        <v>0.0</v>
      </c>
      <c r="F60" s="12">
        <v>0.0</v>
      </c>
      <c r="G60" s="12">
        <v>0.0</v>
      </c>
      <c r="H60" s="12">
        <v>0.0</v>
      </c>
      <c r="I60" s="12">
        <v>0.0</v>
      </c>
      <c r="J60" s="12">
        <v>0.0</v>
      </c>
      <c r="K60" s="12">
        <v>0.0</v>
      </c>
      <c r="L60" s="12">
        <v>0.0</v>
      </c>
    </row>
    <row r="61">
      <c r="A61" s="10">
        <v>24.0</v>
      </c>
      <c r="B61" s="14" t="s">
        <v>42</v>
      </c>
      <c r="C61" s="12">
        <f t="shared" si="3"/>
        <v>0</v>
      </c>
      <c r="D61" s="13"/>
      <c r="E61" s="12">
        <v>0.0</v>
      </c>
      <c r="F61" s="12">
        <v>0.0</v>
      </c>
      <c r="G61" s="12">
        <v>0.0</v>
      </c>
      <c r="H61" s="12">
        <v>0.0</v>
      </c>
      <c r="I61" s="12">
        <v>0.0</v>
      </c>
      <c r="J61" s="12">
        <v>0.0</v>
      </c>
      <c r="K61" s="12">
        <v>0.0</v>
      </c>
      <c r="L61" s="12">
        <v>0.0</v>
      </c>
    </row>
    <row r="62">
      <c r="A62" s="10">
        <v>25.0</v>
      </c>
      <c r="B62" s="14" t="s">
        <v>43</v>
      </c>
      <c r="C62" s="12">
        <f t="shared" si="3"/>
        <v>0</v>
      </c>
      <c r="D62" s="13"/>
      <c r="E62" s="12">
        <v>0.0</v>
      </c>
      <c r="F62" s="12">
        <v>0.0</v>
      </c>
      <c r="G62" s="12">
        <v>0.0</v>
      </c>
      <c r="H62" s="12">
        <v>0.0</v>
      </c>
      <c r="I62" s="12">
        <v>0.0</v>
      </c>
      <c r="J62" s="12">
        <v>0.0</v>
      </c>
      <c r="K62" s="12">
        <v>0.0</v>
      </c>
      <c r="L62" s="12">
        <v>0.0</v>
      </c>
    </row>
    <row r="63">
      <c r="A63" s="10">
        <v>26.0</v>
      </c>
      <c r="B63" s="11" t="s">
        <v>44</v>
      </c>
      <c r="C63" s="12">
        <f t="shared" si="3"/>
        <v>0</v>
      </c>
      <c r="D63" s="13"/>
      <c r="E63" s="12">
        <v>0.0</v>
      </c>
      <c r="F63" s="12">
        <v>0.0</v>
      </c>
      <c r="G63" s="12">
        <v>0.0</v>
      </c>
      <c r="H63" s="12">
        <v>0.0</v>
      </c>
      <c r="I63" s="12">
        <v>0.0</v>
      </c>
      <c r="J63" s="12">
        <v>0.0</v>
      </c>
      <c r="K63" s="12">
        <v>0.0</v>
      </c>
      <c r="L63" s="12">
        <v>0.0</v>
      </c>
    </row>
    <row r="64">
      <c r="A64" s="10">
        <v>27.0</v>
      </c>
      <c r="B64" s="11" t="s">
        <v>45</v>
      </c>
      <c r="C64" s="12">
        <f t="shared" si="3"/>
        <v>0</v>
      </c>
      <c r="D64" s="13"/>
      <c r="E64" s="12">
        <v>0.0</v>
      </c>
      <c r="F64" s="12">
        <v>0.0</v>
      </c>
      <c r="G64" s="12">
        <v>0.0</v>
      </c>
      <c r="H64" s="12">
        <v>0.0</v>
      </c>
      <c r="I64" s="12">
        <v>0.0</v>
      </c>
      <c r="J64" s="12">
        <v>0.0</v>
      </c>
      <c r="K64" s="12">
        <v>0.0</v>
      </c>
      <c r="L64" s="12">
        <v>0.0</v>
      </c>
    </row>
    <row r="65">
      <c r="A65" s="27">
        <v>28.0</v>
      </c>
      <c r="B65" s="17" t="s">
        <v>46</v>
      </c>
      <c r="C65" s="7">
        <f t="shared" si="3"/>
        <v>231</v>
      </c>
      <c r="D65" s="13"/>
      <c r="E65" s="7">
        <v>0.0</v>
      </c>
      <c r="F65" s="7">
        <v>231.0</v>
      </c>
      <c r="G65" s="7">
        <v>0.0</v>
      </c>
      <c r="H65" s="7">
        <v>0.0</v>
      </c>
      <c r="I65" s="7">
        <v>0.0</v>
      </c>
      <c r="J65" s="7">
        <v>0.0</v>
      </c>
      <c r="K65" s="7">
        <v>0.0</v>
      </c>
      <c r="L65" s="7">
        <v>0.0</v>
      </c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>
      <c r="A66" s="10">
        <v>29.0</v>
      </c>
      <c r="B66" s="11" t="s">
        <v>15</v>
      </c>
      <c r="C66" s="12">
        <f t="shared" si="3"/>
        <v>0</v>
      </c>
      <c r="D66" s="13"/>
      <c r="E66" s="12">
        <v>0.0</v>
      </c>
      <c r="F66" s="12">
        <v>0.0</v>
      </c>
      <c r="G66" s="12">
        <v>0.0</v>
      </c>
      <c r="H66" s="12">
        <v>0.0</v>
      </c>
      <c r="I66" s="12">
        <v>0.0</v>
      </c>
      <c r="J66" s="12">
        <v>0.0</v>
      </c>
      <c r="K66" s="12">
        <v>0.0</v>
      </c>
      <c r="L66" s="12">
        <v>0.0</v>
      </c>
    </row>
    <row r="67">
      <c r="A67" s="10">
        <v>30.0</v>
      </c>
      <c r="B67" s="11" t="s">
        <v>47</v>
      </c>
      <c r="C67" s="12">
        <f t="shared" si="3"/>
        <v>0</v>
      </c>
      <c r="D67" s="18"/>
      <c r="E67" s="12">
        <v>0.0</v>
      </c>
      <c r="F67" s="12">
        <v>0.0</v>
      </c>
      <c r="G67" s="12">
        <v>0.0</v>
      </c>
      <c r="H67" s="12">
        <v>0.0</v>
      </c>
      <c r="I67" s="12">
        <v>0.0</v>
      </c>
      <c r="J67" s="12">
        <v>0.0</v>
      </c>
      <c r="K67" s="12">
        <v>0.0</v>
      </c>
      <c r="L67" s="12">
        <v>0.0</v>
      </c>
    </row>
    <row r="68">
      <c r="A68" s="30" t="s">
        <v>52</v>
      </c>
      <c r="B68" s="3"/>
      <c r="C68" s="20">
        <f>SUM(C38:C67)</f>
        <v>2730</v>
      </c>
      <c r="D68" s="21"/>
      <c r="E68" s="20">
        <f t="shared" ref="E68:L68" si="4">SUM(E38:E67)</f>
        <v>618</v>
      </c>
      <c r="F68" s="20">
        <f t="shared" si="4"/>
        <v>657</v>
      </c>
      <c r="G68" s="20">
        <f t="shared" si="4"/>
        <v>1293</v>
      </c>
      <c r="H68" s="20">
        <f t="shared" si="4"/>
        <v>0</v>
      </c>
      <c r="I68" s="20">
        <f t="shared" si="4"/>
        <v>162</v>
      </c>
      <c r="J68" s="20">
        <f t="shared" si="4"/>
        <v>0</v>
      </c>
      <c r="K68" s="20">
        <f t="shared" si="4"/>
        <v>0</v>
      </c>
      <c r="L68" s="20">
        <f t="shared" si="4"/>
        <v>0</v>
      </c>
    </row>
    <row r="69">
      <c r="A69" s="31" t="s">
        <v>53</v>
      </c>
      <c r="B69" s="2"/>
      <c r="C69" s="2"/>
      <c r="D69" s="32"/>
      <c r="E69" s="33">
        <f>C34+C68</f>
        <v>8805</v>
      </c>
      <c r="F69" s="34"/>
      <c r="G69" s="2"/>
      <c r="H69" s="2"/>
      <c r="I69" s="2"/>
      <c r="J69" s="2"/>
      <c r="K69" s="2"/>
      <c r="L69" s="3"/>
    </row>
    <row r="70">
      <c r="A70" s="23"/>
      <c r="B70" s="2"/>
      <c r="C70" s="2"/>
      <c r="D70" s="2"/>
      <c r="E70" s="2"/>
      <c r="F70" s="2"/>
      <c r="G70" s="2"/>
      <c r="H70" s="2"/>
      <c r="I70" s="2"/>
      <c r="J70" s="2"/>
      <c r="K70" s="2"/>
      <c r="L70" s="3"/>
    </row>
    <row r="71">
      <c r="A71" s="35" t="s">
        <v>54</v>
      </c>
      <c r="B71" s="2"/>
      <c r="C71" s="3"/>
      <c r="D71" s="36"/>
      <c r="E71" s="6" t="s">
        <v>55</v>
      </c>
      <c r="F71" s="2"/>
      <c r="G71" s="2"/>
      <c r="H71" s="2"/>
      <c r="I71" s="2"/>
      <c r="J71" s="2"/>
      <c r="K71" s="2"/>
      <c r="L71" s="3"/>
    </row>
    <row r="72">
      <c r="A72" s="7" t="s">
        <v>5</v>
      </c>
      <c r="B72" s="7" t="s">
        <v>56</v>
      </c>
      <c r="C72" s="7" t="s">
        <v>7</v>
      </c>
      <c r="D72" s="8"/>
      <c r="E72" s="9" t="s">
        <v>8</v>
      </c>
      <c r="F72" s="9" t="s">
        <v>9</v>
      </c>
      <c r="G72" s="9" t="s">
        <v>10</v>
      </c>
      <c r="H72" s="9" t="s">
        <v>11</v>
      </c>
      <c r="I72" s="9" t="s">
        <v>12</v>
      </c>
      <c r="J72" s="9" t="s">
        <v>13</v>
      </c>
      <c r="K72" s="9" t="s">
        <v>14</v>
      </c>
      <c r="L72" s="9" t="s">
        <v>15</v>
      </c>
    </row>
    <row r="73">
      <c r="A73" s="27">
        <v>1.0</v>
      </c>
      <c r="B73" s="17" t="s">
        <v>16</v>
      </c>
      <c r="C73" s="7">
        <f t="shared" ref="C73:C102" si="5">E73+F73+G73+H73+I73+J73+K73+L73</f>
        <v>16</v>
      </c>
      <c r="D73" s="13"/>
      <c r="E73" s="7">
        <v>0.0</v>
      </c>
      <c r="F73" s="7">
        <v>4.0</v>
      </c>
      <c r="G73" s="7">
        <v>0.0</v>
      </c>
      <c r="H73" s="7">
        <v>0.0</v>
      </c>
      <c r="I73" s="7">
        <v>12.0</v>
      </c>
      <c r="J73" s="7">
        <v>0.0</v>
      </c>
      <c r="K73" s="7">
        <v>0.0</v>
      </c>
      <c r="L73" s="7">
        <v>0.0</v>
      </c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>
      <c r="A74" s="10">
        <v>2.0</v>
      </c>
      <c r="B74" s="17" t="s">
        <v>17</v>
      </c>
      <c r="C74" s="7">
        <f t="shared" si="5"/>
        <v>1</v>
      </c>
      <c r="D74" s="13"/>
      <c r="E74" s="12">
        <v>0.0</v>
      </c>
      <c r="F74" s="12">
        <v>0.0</v>
      </c>
      <c r="G74" s="7">
        <v>1.0</v>
      </c>
      <c r="H74" s="12">
        <v>0.0</v>
      </c>
      <c r="I74" s="12">
        <v>0.0</v>
      </c>
      <c r="J74" s="12">
        <v>0.0</v>
      </c>
      <c r="K74" s="12">
        <v>0.0</v>
      </c>
      <c r="L74" s="12">
        <v>0.0</v>
      </c>
    </row>
    <row r="75">
      <c r="A75" s="10">
        <v>3.0</v>
      </c>
      <c r="B75" s="11" t="s">
        <v>18</v>
      </c>
      <c r="C75" s="12">
        <f t="shared" si="5"/>
        <v>0</v>
      </c>
      <c r="D75" s="13"/>
      <c r="E75" s="12">
        <v>0.0</v>
      </c>
      <c r="F75" s="12">
        <v>0.0</v>
      </c>
      <c r="G75" s="12">
        <v>0.0</v>
      </c>
      <c r="H75" s="12">
        <v>0.0</v>
      </c>
      <c r="I75" s="12">
        <v>0.0</v>
      </c>
      <c r="J75" s="12">
        <v>0.0</v>
      </c>
      <c r="K75" s="12">
        <v>0.0</v>
      </c>
      <c r="L75" s="12">
        <v>0.0</v>
      </c>
    </row>
    <row r="76">
      <c r="A76" s="10">
        <v>4.0</v>
      </c>
      <c r="B76" s="17" t="s">
        <v>19</v>
      </c>
      <c r="C76" s="7">
        <f t="shared" si="5"/>
        <v>1</v>
      </c>
      <c r="D76" s="13"/>
      <c r="E76" s="12">
        <v>0.0</v>
      </c>
      <c r="F76" s="12">
        <v>0.0</v>
      </c>
      <c r="G76" s="7">
        <v>1.0</v>
      </c>
      <c r="H76" s="12">
        <v>0.0</v>
      </c>
      <c r="I76" s="12">
        <v>0.0</v>
      </c>
      <c r="J76" s="12">
        <v>0.0</v>
      </c>
      <c r="K76" s="12">
        <v>0.0</v>
      </c>
      <c r="L76" s="12">
        <v>0.0</v>
      </c>
    </row>
    <row r="77">
      <c r="A77" s="27">
        <v>5.0</v>
      </c>
      <c r="B77" s="17" t="s">
        <v>20</v>
      </c>
      <c r="C77" s="7">
        <f t="shared" si="5"/>
        <v>45</v>
      </c>
      <c r="D77" s="13"/>
      <c r="E77" s="7">
        <v>44.0</v>
      </c>
      <c r="F77" s="7">
        <v>0.0</v>
      </c>
      <c r="G77" s="7">
        <v>0.0</v>
      </c>
      <c r="H77" s="7">
        <v>0.0</v>
      </c>
      <c r="I77" s="7">
        <v>1.0</v>
      </c>
      <c r="J77" s="7">
        <v>0.0</v>
      </c>
      <c r="K77" s="7">
        <v>0.0</v>
      </c>
      <c r="L77" s="7">
        <v>0.0</v>
      </c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>
      <c r="A78" s="27">
        <v>6.0</v>
      </c>
      <c r="B78" s="29" t="s">
        <v>21</v>
      </c>
      <c r="C78" s="7">
        <f t="shared" si="5"/>
        <v>9</v>
      </c>
      <c r="D78" s="13"/>
      <c r="E78" s="7">
        <v>0.0</v>
      </c>
      <c r="F78" s="7">
        <v>0.0</v>
      </c>
      <c r="G78" s="7">
        <v>9.0</v>
      </c>
      <c r="H78" s="7">
        <v>0.0</v>
      </c>
      <c r="I78" s="7">
        <v>0.0</v>
      </c>
      <c r="J78" s="7">
        <v>0.0</v>
      </c>
      <c r="K78" s="7">
        <v>0.0</v>
      </c>
      <c r="L78" s="7">
        <v>0.0</v>
      </c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>
      <c r="A79" s="10">
        <v>7.0</v>
      </c>
      <c r="B79" s="11" t="s">
        <v>23</v>
      </c>
      <c r="C79" s="12">
        <f t="shared" si="5"/>
        <v>0</v>
      </c>
      <c r="D79" s="13"/>
      <c r="E79" s="12">
        <v>0.0</v>
      </c>
      <c r="F79" s="12">
        <v>0.0</v>
      </c>
      <c r="G79" s="12">
        <v>0.0</v>
      </c>
      <c r="H79" s="12">
        <v>0.0</v>
      </c>
      <c r="I79" s="12">
        <v>0.0</v>
      </c>
      <c r="J79" s="12">
        <v>0.0</v>
      </c>
      <c r="K79" s="12">
        <v>0.0</v>
      </c>
      <c r="L79" s="12">
        <v>0.0</v>
      </c>
    </row>
    <row r="80">
      <c r="A80" s="10">
        <v>8.0</v>
      </c>
      <c r="B80" s="11" t="s">
        <v>25</v>
      </c>
      <c r="C80" s="12">
        <f t="shared" si="5"/>
        <v>0</v>
      </c>
      <c r="D80" s="13"/>
      <c r="E80" s="12">
        <v>0.0</v>
      </c>
      <c r="F80" s="12">
        <v>0.0</v>
      </c>
      <c r="G80" s="12">
        <v>0.0</v>
      </c>
      <c r="H80" s="12">
        <v>0.0</v>
      </c>
      <c r="I80" s="12">
        <v>0.0</v>
      </c>
      <c r="J80" s="12">
        <v>0.0</v>
      </c>
      <c r="K80" s="12">
        <v>0.0</v>
      </c>
      <c r="L80" s="12">
        <v>0.0</v>
      </c>
    </row>
    <row r="81">
      <c r="A81" s="10">
        <v>9.0</v>
      </c>
      <c r="B81" s="17" t="s">
        <v>26</v>
      </c>
      <c r="C81" s="7">
        <f t="shared" si="5"/>
        <v>2</v>
      </c>
      <c r="D81" s="13"/>
      <c r="E81" s="12">
        <v>0.0</v>
      </c>
      <c r="F81" s="7">
        <v>2.0</v>
      </c>
      <c r="G81" s="12">
        <v>0.0</v>
      </c>
      <c r="H81" s="12">
        <v>0.0</v>
      </c>
      <c r="I81" s="12">
        <v>0.0</v>
      </c>
      <c r="J81" s="12">
        <v>0.0</v>
      </c>
      <c r="K81" s="12">
        <v>0.0</v>
      </c>
      <c r="L81" s="12">
        <v>0.0</v>
      </c>
    </row>
    <row r="82">
      <c r="A82" s="10">
        <v>10.0</v>
      </c>
      <c r="B82" s="29" t="s">
        <v>27</v>
      </c>
      <c r="C82" s="7">
        <f t="shared" si="5"/>
        <v>1</v>
      </c>
      <c r="D82" s="13"/>
      <c r="E82" s="12">
        <v>0.0</v>
      </c>
      <c r="F82" s="12">
        <v>0.0</v>
      </c>
      <c r="G82" s="7">
        <v>1.0</v>
      </c>
      <c r="H82" s="12">
        <v>0.0</v>
      </c>
      <c r="I82" s="12">
        <v>0.0</v>
      </c>
      <c r="J82" s="12">
        <v>0.0</v>
      </c>
      <c r="K82" s="12">
        <v>0.0</v>
      </c>
      <c r="L82" s="12">
        <v>0.0</v>
      </c>
    </row>
    <row r="83">
      <c r="A83" s="10">
        <v>11.0</v>
      </c>
      <c r="B83" s="17" t="s">
        <v>28</v>
      </c>
      <c r="C83" s="7">
        <f t="shared" si="5"/>
        <v>7</v>
      </c>
      <c r="D83" s="13"/>
      <c r="E83" s="12">
        <v>0.0</v>
      </c>
      <c r="F83" s="12">
        <v>0.0</v>
      </c>
      <c r="G83" s="7">
        <v>7.0</v>
      </c>
      <c r="H83" s="12">
        <v>0.0</v>
      </c>
      <c r="I83" s="12">
        <v>0.0</v>
      </c>
      <c r="J83" s="12">
        <v>0.0</v>
      </c>
      <c r="K83" s="12">
        <v>0.0</v>
      </c>
      <c r="L83" s="12">
        <v>0.0</v>
      </c>
    </row>
    <row r="84">
      <c r="A84" s="27">
        <v>12.0</v>
      </c>
      <c r="B84" s="17" t="s">
        <v>29</v>
      </c>
      <c r="C84" s="7">
        <f t="shared" si="5"/>
        <v>24</v>
      </c>
      <c r="D84" s="13"/>
      <c r="E84" s="7">
        <v>0.0</v>
      </c>
      <c r="F84" s="7">
        <v>24.0</v>
      </c>
      <c r="G84" s="7">
        <v>0.0</v>
      </c>
      <c r="H84" s="7">
        <v>0.0</v>
      </c>
      <c r="I84" s="7">
        <v>0.0</v>
      </c>
      <c r="J84" s="7">
        <v>0.0</v>
      </c>
      <c r="K84" s="7">
        <v>0.0</v>
      </c>
      <c r="L84" s="7">
        <v>0.0</v>
      </c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>
      <c r="A85" s="27">
        <v>13.0</v>
      </c>
      <c r="B85" s="17" t="s">
        <v>30</v>
      </c>
      <c r="C85" s="7">
        <f t="shared" si="5"/>
        <v>53</v>
      </c>
      <c r="D85" s="13"/>
      <c r="E85" s="7">
        <v>0.0</v>
      </c>
      <c r="F85" s="7">
        <v>0.0</v>
      </c>
      <c r="G85" s="7">
        <v>53.0</v>
      </c>
      <c r="H85" s="7">
        <v>0.0</v>
      </c>
      <c r="I85" s="7">
        <v>0.0</v>
      </c>
      <c r="J85" s="7">
        <v>0.0</v>
      </c>
      <c r="K85" s="7">
        <v>0.0</v>
      </c>
      <c r="L85" s="7">
        <v>0.0</v>
      </c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>
      <c r="A86" s="10">
        <v>14.0</v>
      </c>
      <c r="B86" s="17" t="s">
        <v>31</v>
      </c>
      <c r="C86" s="7">
        <f t="shared" si="5"/>
        <v>2</v>
      </c>
      <c r="D86" s="13"/>
      <c r="E86" s="12">
        <v>0.0</v>
      </c>
      <c r="F86" s="12">
        <v>0.0</v>
      </c>
      <c r="G86" s="7">
        <v>2.0</v>
      </c>
      <c r="H86" s="12">
        <v>0.0</v>
      </c>
      <c r="I86" s="12">
        <v>0.0</v>
      </c>
      <c r="J86" s="12">
        <v>0.0</v>
      </c>
      <c r="K86" s="12">
        <v>0.0</v>
      </c>
      <c r="L86" s="12">
        <v>0.0</v>
      </c>
    </row>
    <row r="87">
      <c r="A87" s="10">
        <v>15.0</v>
      </c>
      <c r="B87" s="17" t="s">
        <v>32</v>
      </c>
      <c r="C87" s="7">
        <f t="shared" si="5"/>
        <v>1</v>
      </c>
      <c r="D87" s="13"/>
      <c r="E87" s="12">
        <v>0.0</v>
      </c>
      <c r="F87" s="12">
        <v>0.0</v>
      </c>
      <c r="G87" s="12">
        <v>1.0</v>
      </c>
      <c r="H87" s="12">
        <v>0.0</v>
      </c>
      <c r="I87" s="12">
        <v>0.0</v>
      </c>
      <c r="J87" s="12">
        <v>0.0</v>
      </c>
      <c r="K87" s="12">
        <v>0.0</v>
      </c>
      <c r="L87" s="12">
        <v>0.0</v>
      </c>
    </row>
    <row r="88">
      <c r="A88" s="10">
        <v>16.0</v>
      </c>
      <c r="B88" s="14" t="s">
        <v>33</v>
      </c>
      <c r="C88" s="12">
        <f t="shared" si="5"/>
        <v>0</v>
      </c>
      <c r="D88" s="13"/>
      <c r="E88" s="12">
        <v>0.0</v>
      </c>
      <c r="F88" s="12">
        <v>0.0</v>
      </c>
      <c r="G88" s="12">
        <v>0.0</v>
      </c>
      <c r="H88" s="12">
        <v>0.0</v>
      </c>
      <c r="I88" s="12">
        <v>0.0</v>
      </c>
      <c r="J88" s="12">
        <v>0.0</v>
      </c>
      <c r="K88" s="12">
        <v>0.0</v>
      </c>
      <c r="L88" s="12">
        <v>0.0</v>
      </c>
    </row>
    <row r="89">
      <c r="A89" s="27">
        <v>17.0</v>
      </c>
      <c r="B89" s="29" t="s">
        <v>34</v>
      </c>
      <c r="C89" s="7">
        <f t="shared" si="5"/>
        <v>27</v>
      </c>
      <c r="D89" s="13"/>
      <c r="E89" s="7">
        <v>0.0</v>
      </c>
      <c r="F89" s="7">
        <v>27.0</v>
      </c>
      <c r="G89" s="7">
        <v>0.0</v>
      </c>
      <c r="H89" s="7">
        <v>0.0</v>
      </c>
      <c r="I89" s="7">
        <v>0.0</v>
      </c>
      <c r="J89" s="7">
        <v>0.0</v>
      </c>
      <c r="K89" s="7">
        <v>0.0</v>
      </c>
      <c r="L89" s="7">
        <v>0.0</v>
      </c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>
      <c r="A90" s="10">
        <v>18.0</v>
      </c>
      <c r="B90" s="14" t="s">
        <v>35</v>
      </c>
      <c r="C90" s="12">
        <f t="shared" si="5"/>
        <v>0</v>
      </c>
      <c r="D90" s="13"/>
      <c r="E90" s="12">
        <v>0.0</v>
      </c>
      <c r="F90" s="12">
        <v>0.0</v>
      </c>
      <c r="G90" s="12">
        <v>0.0</v>
      </c>
      <c r="H90" s="12">
        <v>0.0</v>
      </c>
      <c r="I90" s="12">
        <v>0.0</v>
      </c>
      <c r="J90" s="12">
        <v>0.0</v>
      </c>
      <c r="K90" s="12">
        <v>0.0</v>
      </c>
      <c r="L90" s="12">
        <v>0.0</v>
      </c>
    </row>
    <row r="91">
      <c r="A91" s="37">
        <v>19.0</v>
      </c>
      <c r="B91" s="17" t="s">
        <v>36</v>
      </c>
      <c r="C91" s="7">
        <f t="shared" si="5"/>
        <v>41</v>
      </c>
      <c r="D91" s="13"/>
      <c r="E91" s="7">
        <v>0.0</v>
      </c>
      <c r="F91" s="7">
        <v>0.0</v>
      </c>
      <c r="G91" s="7">
        <v>41.0</v>
      </c>
      <c r="H91" s="7">
        <v>0.0</v>
      </c>
      <c r="I91" s="7">
        <v>0.0</v>
      </c>
      <c r="J91" s="7">
        <v>0.0</v>
      </c>
      <c r="K91" s="7">
        <v>0.0</v>
      </c>
      <c r="L91" s="7">
        <v>0.0</v>
      </c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>
      <c r="A92" s="16">
        <v>20.0</v>
      </c>
      <c r="B92" s="14" t="s">
        <v>37</v>
      </c>
      <c r="C92" s="12">
        <f t="shared" si="5"/>
        <v>2</v>
      </c>
      <c r="D92" s="13"/>
      <c r="E92" s="12">
        <v>1.0</v>
      </c>
      <c r="F92" s="12">
        <v>1.0</v>
      </c>
      <c r="G92" s="12">
        <v>0.0</v>
      </c>
      <c r="H92" s="12">
        <v>0.0</v>
      </c>
      <c r="I92" s="12">
        <v>0.0</v>
      </c>
      <c r="J92" s="12">
        <v>0.0</v>
      </c>
      <c r="K92" s="12">
        <v>0.0</v>
      </c>
      <c r="L92" s="12">
        <v>0.0</v>
      </c>
    </row>
    <row r="93">
      <c r="A93" s="10">
        <v>21.0</v>
      </c>
      <c r="B93" s="11" t="s">
        <v>38</v>
      </c>
      <c r="C93" s="12">
        <f t="shared" si="5"/>
        <v>0</v>
      </c>
      <c r="D93" s="13"/>
      <c r="E93" s="12">
        <v>0.0</v>
      </c>
      <c r="F93" s="12">
        <v>0.0</v>
      </c>
      <c r="G93" s="12">
        <v>0.0</v>
      </c>
      <c r="H93" s="12">
        <v>0.0</v>
      </c>
      <c r="I93" s="12">
        <v>0.0</v>
      </c>
      <c r="J93" s="12">
        <v>0.0</v>
      </c>
      <c r="K93" s="12">
        <v>0.0</v>
      </c>
      <c r="L93" s="12">
        <v>0.0</v>
      </c>
    </row>
    <row r="94">
      <c r="A94" s="10">
        <v>22.0</v>
      </c>
      <c r="B94" s="11" t="s">
        <v>39</v>
      </c>
      <c r="C94" s="12">
        <f t="shared" si="5"/>
        <v>0</v>
      </c>
      <c r="D94" s="13"/>
      <c r="E94" s="12">
        <v>0.0</v>
      </c>
      <c r="F94" s="12">
        <v>0.0</v>
      </c>
      <c r="G94" s="12">
        <v>0.0</v>
      </c>
      <c r="H94" s="12">
        <v>0.0</v>
      </c>
      <c r="I94" s="12">
        <v>0.0</v>
      </c>
      <c r="J94" s="12">
        <v>0.0</v>
      </c>
      <c r="K94" s="12">
        <v>0.0</v>
      </c>
      <c r="L94" s="12">
        <v>0.0</v>
      </c>
    </row>
    <row r="95">
      <c r="A95" s="27">
        <v>23.0</v>
      </c>
      <c r="B95" s="29" t="s">
        <v>40</v>
      </c>
      <c r="C95" s="7">
        <f t="shared" si="5"/>
        <v>19</v>
      </c>
      <c r="D95" s="13"/>
      <c r="E95" s="7">
        <v>17.0</v>
      </c>
      <c r="F95" s="7">
        <v>2.0</v>
      </c>
      <c r="G95" s="7">
        <v>0.0</v>
      </c>
      <c r="H95" s="7">
        <v>0.0</v>
      </c>
      <c r="I95" s="7">
        <v>0.0</v>
      </c>
      <c r="J95" s="7">
        <v>0.0</v>
      </c>
      <c r="K95" s="7">
        <v>0.0</v>
      </c>
      <c r="L95" s="7">
        <v>0.0</v>
      </c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>
      <c r="A96" s="27">
        <v>24.0</v>
      </c>
      <c r="B96" s="29" t="s">
        <v>58</v>
      </c>
      <c r="C96" s="7">
        <f t="shared" si="5"/>
        <v>5</v>
      </c>
      <c r="D96" s="13"/>
      <c r="E96" s="7">
        <v>0.0</v>
      </c>
      <c r="F96" s="7">
        <v>0.0</v>
      </c>
      <c r="G96" s="7">
        <v>5.0</v>
      </c>
      <c r="H96" s="7">
        <v>0.0</v>
      </c>
      <c r="I96" s="7">
        <v>0.0</v>
      </c>
      <c r="J96" s="7">
        <v>0.0</v>
      </c>
      <c r="K96" s="7">
        <v>0.0</v>
      </c>
      <c r="L96" s="7">
        <v>0.0</v>
      </c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>
      <c r="A97" s="10">
        <v>25.0</v>
      </c>
      <c r="B97" s="14" t="s">
        <v>43</v>
      </c>
      <c r="C97" s="12">
        <f t="shared" si="5"/>
        <v>0</v>
      </c>
      <c r="D97" s="13"/>
      <c r="E97" s="12">
        <v>0.0</v>
      </c>
      <c r="F97" s="12">
        <v>0.0</v>
      </c>
      <c r="G97" s="12">
        <v>0.0</v>
      </c>
      <c r="H97" s="12">
        <v>0.0</v>
      </c>
      <c r="I97" s="12">
        <v>0.0</v>
      </c>
      <c r="J97" s="12">
        <v>0.0</v>
      </c>
      <c r="K97" s="12">
        <v>0.0</v>
      </c>
      <c r="L97" s="12">
        <v>0.0</v>
      </c>
    </row>
    <row r="98">
      <c r="A98" s="27">
        <v>26.0</v>
      </c>
      <c r="B98" s="17" t="s">
        <v>44</v>
      </c>
      <c r="C98" s="7">
        <f t="shared" si="5"/>
        <v>0</v>
      </c>
      <c r="D98" s="13"/>
      <c r="E98" s="7">
        <v>0.0</v>
      </c>
      <c r="F98" s="7">
        <v>0.0</v>
      </c>
      <c r="G98" s="7">
        <v>0.0</v>
      </c>
      <c r="H98" s="7">
        <v>0.0</v>
      </c>
      <c r="I98" s="7">
        <v>0.0</v>
      </c>
      <c r="J98" s="7">
        <v>0.0</v>
      </c>
      <c r="K98" s="7">
        <v>0.0</v>
      </c>
      <c r="L98" s="7">
        <v>0.0</v>
      </c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>
      <c r="A99" s="10">
        <v>27.0</v>
      </c>
      <c r="B99" s="11" t="s">
        <v>45</v>
      </c>
      <c r="C99" s="12">
        <f t="shared" si="5"/>
        <v>0</v>
      </c>
      <c r="D99" s="13"/>
      <c r="E99" s="12">
        <v>0.0</v>
      </c>
      <c r="F99" s="12">
        <v>0.0</v>
      </c>
      <c r="G99" s="12">
        <v>0.0</v>
      </c>
      <c r="H99" s="12">
        <v>0.0</v>
      </c>
      <c r="I99" s="12">
        <v>0.0</v>
      </c>
      <c r="J99" s="12">
        <v>0.0</v>
      </c>
      <c r="K99" s="12">
        <v>0.0</v>
      </c>
      <c r="L99" s="12">
        <v>0.0</v>
      </c>
    </row>
    <row r="100">
      <c r="A100" s="10">
        <v>28.0</v>
      </c>
      <c r="B100" s="17" t="s">
        <v>46</v>
      </c>
      <c r="C100" s="12">
        <f t="shared" si="5"/>
        <v>0</v>
      </c>
      <c r="D100" s="13"/>
      <c r="E100" s="12">
        <v>0.0</v>
      </c>
      <c r="F100" s="12">
        <v>0.0</v>
      </c>
      <c r="G100" s="12">
        <v>0.0</v>
      </c>
      <c r="H100" s="12">
        <v>0.0</v>
      </c>
      <c r="I100" s="12">
        <v>0.0</v>
      </c>
      <c r="J100" s="12">
        <v>0.0</v>
      </c>
      <c r="K100" s="12">
        <v>0.0</v>
      </c>
      <c r="L100" s="12">
        <v>0.0</v>
      </c>
    </row>
    <row r="101">
      <c r="A101" s="10">
        <v>29.0</v>
      </c>
      <c r="B101" s="11" t="s">
        <v>15</v>
      </c>
      <c r="C101" s="12">
        <f t="shared" si="5"/>
        <v>0</v>
      </c>
      <c r="D101" s="13"/>
      <c r="E101" s="12">
        <v>0.0</v>
      </c>
      <c r="F101" s="12">
        <v>0.0</v>
      </c>
      <c r="G101" s="12">
        <v>0.0</v>
      </c>
      <c r="H101" s="12">
        <v>0.0</v>
      </c>
      <c r="I101" s="12">
        <v>0.0</v>
      </c>
      <c r="J101" s="12">
        <v>0.0</v>
      </c>
      <c r="K101" s="12">
        <v>0.0</v>
      </c>
      <c r="L101" s="12">
        <v>0.0</v>
      </c>
    </row>
    <row r="102">
      <c r="A102" s="10">
        <v>30.0</v>
      </c>
      <c r="B102" s="11" t="s">
        <v>47</v>
      </c>
      <c r="C102" s="12">
        <f t="shared" si="5"/>
        <v>0</v>
      </c>
      <c r="D102" s="18"/>
      <c r="E102" s="12">
        <v>0.0</v>
      </c>
      <c r="F102" s="12">
        <v>0.0</v>
      </c>
      <c r="G102" s="12">
        <v>0.0</v>
      </c>
      <c r="H102" s="12">
        <v>0.0</v>
      </c>
      <c r="I102" s="12">
        <v>0.0</v>
      </c>
      <c r="J102" s="12">
        <v>0.0</v>
      </c>
      <c r="K102" s="12">
        <v>0.0</v>
      </c>
      <c r="L102" s="12">
        <v>0.0</v>
      </c>
    </row>
    <row r="103">
      <c r="A103" s="19" t="s">
        <v>59</v>
      </c>
      <c r="B103" s="3"/>
      <c r="C103" s="20">
        <f>SUM(C73:C102)</f>
        <v>256</v>
      </c>
      <c r="D103" s="38"/>
      <c r="E103" s="20">
        <f t="shared" ref="E103:L103" si="6">SUM(E73:E102)</f>
        <v>62</v>
      </c>
      <c r="F103" s="20">
        <f t="shared" si="6"/>
        <v>60</v>
      </c>
      <c r="G103" s="20">
        <f t="shared" si="6"/>
        <v>121</v>
      </c>
      <c r="H103" s="20">
        <f t="shared" si="6"/>
        <v>0</v>
      </c>
      <c r="I103" s="20">
        <f t="shared" si="6"/>
        <v>13</v>
      </c>
      <c r="J103" s="20">
        <f t="shared" si="6"/>
        <v>0</v>
      </c>
      <c r="K103" s="20">
        <f t="shared" si="6"/>
        <v>0</v>
      </c>
      <c r="L103" s="20">
        <f t="shared" si="6"/>
        <v>0</v>
      </c>
    </row>
    <row r="104">
      <c r="A104" s="2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3"/>
    </row>
    <row r="105">
      <c r="A105" s="39" t="s">
        <v>60</v>
      </c>
      <c r="B105" s="2"/>
      <c r="C105" s="3"/>
      <c r="D105" s="40"/>
      <c r="E105" s="26" t="s">
        <v>61</v>
      </c>
      <c r="F105" s="2"/>
      <c r="G105" s="2"/>
      <c r="H105" s="2"/>
      <c r="I105" s="2"/>
      <c r="J105" s="2"/>
      <c r="K105" s="2"/>
      <c r="L105" s="3"/>
    </row>
    <row r="106">
      <c r="A106" s="7" t="s">
        <v>5</v>
      </c>
      <c r="B106" s="7" t="s">
        <v>62</v>
      </c>
      <c r="C106" s="7" t="s">
        <v>7</v>
      </c>
      <c r="D106" s="8"/>
      <c r="E106" s="9" t="s">
        <v>8</v>
      </c>
      <c r="F106" s="9" t="s">
        <v>9</v>
      </c>
      <c r="G106" s="9" t="s">
        <v>10</v>
      </c>
      <c r="H106" s="9" t="s">
        <v>11</v>
      </c>
      <c r="I106" s="9" t="s">
        <v>12</v>
      </c>
      <c r="J106" s="9" t="s">
        <v>13</v>
      </c>
      <c r="K106" s="9" t="s">
        <v>14</v>
      </c>
      <c r="L106" s="9" t="s">
        <v>15</v>
      </c>
    </row>
    <row r="107">
      <c r="A107" s="27">
        <v>1.0</v>
      </c>
      <c r="B107" s="17" t="s">
        <v>16</v>
      </c>
      <c r="C107" s="7">
        <f t="shared" ref="C107:C136" si="7">E107+F107+G107+H107+I107+J107+K107+L107</f>
        <v>90</v>
      </c>
      <c r="D107" s="13"/>
      <c r="E107" s="7">
        <v>0.0</v>
      </c>
      <c r="F107" s="7">
        <v>0.0</v>
      </c>
      <c r="G107" s="7">
        <v>0.0</v>
      </c>
      <c r="H107" s="7">
        <v>0.0</v>
      </c>
      <c r="I107" s="7">
        <v>90.0</v>
      </c>
      <c r="J107" s="7">
        <v>0.0</v>
      </c>
      <c r="K107" s="7">
        <v>0.0</v>
      </c>
      <c r="L107" s="7">
        <v>0.0</v>
      </c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>
      <c r="A108" s="10">
        <v>2.0</v>
      </c>
      <c r="B108" s="11" t="s">
        <v>17</v>
      </c>
      <c r="C108" s="12">
        <f t="shared" si="7"/>
        <v>0</v>
      </c>
      <c r="D108" s="13"/>
      <c r="E108" s="12">
        <v>0.0</v>
      </c>
      <c r="F108" s="12">
        <v>0.0</v>
      </c>
      <c r="G108" s="12">
        <v>0.0</v>
      </c>
      <c r="H108" s="12">
        <v>0.0</v>
      </c>
      <c r="I108" s="12">
        <v>0.0</v>
      </c>
      <c r="J108" s="12">
        <v>0.0</v>
      </c>
      <c r="K108" s="12">
        <v>0.0</v>
      </c>
      <c r="L108" s="12">
        <v>0.0</v>
      </c>
    </row>
    <row r="109">
      <c r="A109" s="10">
        <v>3.0</v>
      </c>
      <c r="B109" s="11" t="s">
        <v>18</v>
      </c>
      <c r="C109" s="12">
        <f t="shared" si="7"/>
        <v>0</v>
      </c>
      <c r="D109" s="13"/>
      <c r="E109" s="12">
        <v>0.0</v>
      </c>
      <c r="F109" s="12">
        <v>0.0</v>
      </c>
      <c r="G109" s="12">
        <v>0.0</v>
      </c>
      <c r="H109" s="12">
        <v>0.0</v>
      </c>
      <c r="I109" s="12">
        <v>0.0</v>
      </c>
      <c r="J109" s="12">
        <v>0.0</v>
      </c>
      <c r="K109" s="12">
        <v>0.0</v>
      </c>
      <c r="L109" s="12">
        <v>0.0</v>
      </c>
    </row>
    <row r="110">
      <c r="A110" s="10">
        <v>4.0</v>
      </c>
      <c r="B110" s="11" t="s">
        <v>19</v>
      </c>
      <c r="C110" s="12">
        <f t="shared" si="7"/>
        <v>0</v>
      </c>
      <c r="D110" s="13"/>
      <c r="E110" s="12">
        <v>0.0</v>
      </c>
      <c r="F110" s="12">
        <v>0.0</v>
      </c>
      <c r="G110" s="12">
        <v>0.0</v>
      </c>
      <c r="H110" s="12">
        <v>0.0</v>
      </c>
      <c r="I110" s="12">
        <v>0.0</v>
      </c>
      <c r="J110" s="12">
        <v>0.0</v>
      </c>
      <c r="K110" s="12">
        <v>0.0</v>
      </c>
      <c r="L110" s="12">
        <v>0.0</v>
      </c>
    </row>
    <row r="111">
      <c r="A111" s="27">
        <v>5.0</v>
      </c>
      <c r="B111" s="17" t="s">
        <v>20</v>
      </c>
      <c r="C111" s="7">
        <f t="shared" si="7"/>
        <v>18</v>
      </c>
      <c r="D111" s="13"/>
      <c r="E111" s="7">
        <v>18.0</v>
      </c>
      <c r="F111" s="7">
        <v>0.0</v>
      </c>
      <c r="G111" s="7">
        <v>0.0</v>
      </c>
      <c r="H111" s="7">
        <v>0.0</v>
      </c>
      <c r="I111" s="7">
        <v>0.0</v>
      </c>
      <c r="J111" s="7">
        <v>0.0</v>
      </c>
      <c r="K111" s="7">
        <v>0.0</v>
      </c>
      <c r="L111" s="7">
        <v>0.0</v>
      </c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>
      <c r="A112" s="10">
        <v>6.0</v>
      </c>
      <c r="B112" s="14" t="s">
        <v>21</v>
      </c>
      <c r="C112" s="12">
        <f t="shared" si="7"/>
        <v>0</v>
      </c>
      <c r="D112" s="13"/>
      <c r="E112" s="12">
        <v>0.0</v>
      </c>
      <c r="F112" s="12">
        <v>0.0</v>
      </c>
      <c r="G112" s="12">
        <v>0.0</v>
      </c>
      <c r="H112" s="12">
        <v>0.0</v>
      </c>
      <c r="I112" s="12">
        <v>0.0</v>
      </c>
      <c r="J112" s="12">
        <v>0.0</v>
      </c>
      <c r="K112" s="12">
        <v>0.0</v>
      </c>
      <c r="L112" s="12">
        <v>0.0</v>
      </c>
    </row>
    <row r="113">
      <c r="A113" s="10">
        <v>7.0</v>
      </c>
      <c r="B113" s="11" t="s">
        <v>23</v>
      </c>
      <c r="C113" s="12">
        <f t="shared" si="7"/>
        <v>0</v>
      </c>
      <c r="D113" s="13"/>
      <c r="E113" s="12">
        <v>0.0</v>
      </c>
      <c r="F113" s="12">
        <v>0.0</v>
      </c>
      <c r="G113" s="12">
        <v>0.0</v>
      </c>
      <c r="H113" s="12">
        <v>0.0</v>
      </c>
      <c r="I113" s="12">
        <v>0.0</v>
      </c>
      <c r="J113" s="12">
        <v>0.0</v>
      </c>
      <c r="K113" s="12">
        <v>0.0</v>
      </c>
      <c r="L113" s="12">
        <v>0.0</v>
      </c>
    </row>
    <row r="114">
      <c r="A114" s="10">
        <v>8.0</v>
      </c>
      <c r="B114" s="11" t="s">
        <v>25</v>
      </c>
      <c r="C114" s="12">
        <f t="shared" si="7"/>
        <v>0</v>
      </c>
      <c r="D114" s="13"/>
      <c r="E114" s="12">
        <v>0.0</v>
      </c>
      <c r="F114" s="12">
        <v>0.0</v>
      </c>
      <c r="G114" s="12">
        <v>0.0</v>
      </c>
      <c r="H114" s="12">
        <v>0.0</v>
      </c>
      <c r="I114" s="12">
        <v>0.0</v>
      </c>
      <c r="J114" s="12">
        <v>0.0</v>
      </c>
      <c r="K114" s="12">
        <v>0.0</v>
      </c>
      <c r="L114" s="12">
        <v>0.0</v>
      </c>
    </row>
    <row r="115">
      <c r="A115" s="10">
        <v>9.0</v>
      </c>
      <c r="B115" s="11" t="s">
        <v>26</v>
      </c>
      <c r="C115" s="12">
        <f t="shared" si="7"/>
        <v>0</v>
      </c>
      <c r="D115" s="13"/>
      <c r="E115" s="12">
        <v>0.0</v>
      </c>
      <c r="F115" s="12">
        <v>0.0</v>
      </c>
      <c r="G115" s="12">
        <v>0.0</v>
      </c>
      <c r="H115" s="12">
        <v>0.0</v>
      </c>
      <c r="I115" s="12">
        <v>0.0</v>
      </c>
      <c r="J115" s="12">
        <v>0.0</v>
      </c>
      <c r="K115" s="12">
        <v>0.0</v>
      </c>
      <c r="L115" s="12">
        <v>0.0</v>
      </c>
    </row>
    <row r="116">
      <c r="A116" s="10">
        <v>10.0</v>
      </c>
      <c r="B116" s="14" t="s">
        <v>27</v>
      </c>
      <c r="C116" s="12">
        <f t="shared" si="7"/>
        <v>0</v>
      </c>
      <c r="D116" s="13"/>
      <c r="E116" s="12">
        <v>0.0</v>
      </c>
      <c r="F116" s="12">
        <v>0.0</v>
      </c>
      <c r="G116" s="12">
        <v>0.0</v>
      </c>
      <c r="H116" s="12">
        <v>0.0</v>
      </c>
      <c r="I116" s="12">
        <v>0.0</v>
      </c>
      <c r="J116" s="12">
        <v>0.0</v>
      </c>
      <c r="K116" s="12">
        <v>0.0</v>
      </c>
      <c r="L116" s="12">
        <v>0.0</v>
      </c>
    </row>
    <row r="117">
      <c r="A117" s="10">
        <v>11.0</v>
      </c>
      <c r="B117" s="11" t="s">
        <v>28</v>
      </c>
      <c r="C117" s="12">
        <f t="shared" si="7"/>
        <v>0</v>
      </c>
      <c r="D117" s="13"/>
      <c r="E117" s="12">
        <v>0.0</v>
      </c>
      <c r="F117" s="12">
        <v>0.0</v>
      </c>
      <c r="G117" s="12">
        <v>0.0</v>
      </c>
      <c r="H117" s="12">
        <v>0.0</v>
      </c>
      <c r="I117" s="12">
        <v>0.0</v>
      </c>
      <c r="J117" s="12">
        <v>0.0</v>
      </c>
      <c r="K117" s="12">
        <v>0.0</v>
      </c>
      <c r="L117" s="12">
        <v>0.0</v>
      </c>
    </row>
    <row r="118">
      <c r="A118" s="10">
        <v>12.0</v>
      </c>
      <c r="B118" s="17" t="s">
        <v>29</v>
      </c>
      <c r="C118" s="12">
        <f t="shared" si="7"/>
        <v>8</v>
      </c>
      <c r="D118" s="13"/>
      <c r="E118" s="12">
        <v>0.0</v>
      </c>
      <c r="F118" s="12">
        <v>8.0</v>
      </c>
      <c r="G118" s="12">
        <v>0.0</v>
      </c>
      <c r="H118" s="12">
        <v>0.0</v>
      </c>
      <c r="I118" s="12">
        <v>0.0</v>
      </c>
      <c r="J118" s="12">
        <v>0.0</v>
      </c>
      <c r="K118" s="12">
        <v>0.0</v>
      </c>
      <c r="L118" s="12">
        <v>0.0</v>
      </c>
    </row>
    <row r="119">
      <c r="A119" s="10">
        <v>13.0</v>
      </c>
      <c r="B119" s="11" t="s">
        <v>30</v>
      </c>
      <c r="C119" s="12">
        <f t="shared" si="7"/>
        <v>0</v>
      </c>
      <c r="D119" s="13"/>
      <c r="E119" s="12">
        <v>0.0</v>
      </c>
      <c r="F119" s="12">
        <v>0.0</v>
      </c>
      <c r="G119" s="12">
        <v>0.0</v>
      </c>
      <c r="H119" s="12">
        <v>0.0</v>
      </c>
      <c r="I119" s="12">
        <v>0.0</v>
      </c>
      <c r="J119" s="12">
        <v>0.0</v>
      </c>
      <c r="K119" s="12">
        <v>0.0</v>
      </c>
      <c r="L119" s="12">
        <v>0.0</v>
      </c>
    </row>
    <row r="120">
      <c r="A120" s="10">
        <v>14.0</v>
      </c>
      <c r="B120" s="11" t="s">
        <v>31</v>
      </c>
      <c r="C120" s="12">
        <f t="shared" si="7"/>
        <v>0</v>
      </c>
      <c r="D120" s="13"/>
      <c r="E120" s="12">
        <v>0.0</v>
      </c>
      <c r="F120" s="12">
        <v>0.0</v>
      </c>
      <c r="G120" s="12">
        <v>0.0</v>
      </c>
      <c r="H120" s="12">
        <v>0.0</v>
      </c>
      <c r="I120" s="12">
        <v>0.0</v>
      </c>
      <c r="J120" s="12">
        <v>0.0</v>
      </c>
      <c r="K120" s="12">
        <v>0.0</v>
      </c>
      <c r="L120" s="12">
        <v>0.0</v>
      </c>
    </row>
    <row r="121">
      <c r="A121" s="10">
        <v>15.0</v>
      </c>
      <c r="B121" s="11" t="s">
        <v>32</v>
      </c>
      <c r="C121" s="12">
        <f t="shared" si="7"/>
        <v>0</v>
      </c>
      <c r="D121" s="13"/>
      <c r="E121" s="12">
        <v>0.0</v>
      </c>
      <c r="F121" s="12">
        <v>0.0</v>
      </c>
      <c r="G121" s="12">
        <v>0.0</v>
      </c>
      <c r="H121" s="12">
        <v>0.0</v>
      </c>
      <c r="I121" s="12">
        <v>0.0</v>
      </c>
      <c r="J121" s="12">
        <v>0.0</v>
      </c>
      <c r="K121" s="12">
        <v>0.0</v>
      </c>
      <c r="L121" s="12">
        <v>0.0</v>
      </c>
    </row>
    <row r="122">
      <c r="A122" s="10">
        <v>16.0</v>
      </c>
      <c r="B122" s="14" t="s">
        <v>33</v>
      </c>
      <c r="C122" s="12">
        <f t="shared" si="7"/>
        <v>0</v>
      </c>
      <c r="D122" s="13"/>
      <c r="E122" s="12">
        <v>0.0</v>
      </c>
      <c r="F122" s="12">
        <v>0.0</v>
      </c>
      <c r="G122" s="12">
        <v>0.0</v>
      </c>
      <c r="H122" s="12">
        <v>0.0</v>
      </c>
      <c r="I122" s="12">
        <v>0.0</v>
      </c>
      <c r="J122" s="12">
        <v>0.0</v>
      </c>
      <c r="K122" s="12">
        <v>0.0</v>
      </c>
      <c r="L122" s="12">
        <v>0.0</v>
      </c>
    </row>
    <row r="123">
      <c r="A123" s="27">
        <v>17.0</v>
      </c>
      <c r="B123" s="29" t="s">
        <v>34</v>
      </c>
      <c r="C123" s="7">
        <f t="shared" si="7"/>
        <v>41</v>
      </c>
      <c r="D123" s="13"/>
      <c r="E123" s="7">
        <v>0.0</v>
      </c>
      <c r="F123" s="7">
        <v>41.0</v>
      </c>
      <c r="G123" s="7">
        <v>0.0</v>
      </c>
      <c r="H123" s="7">
        <v>0.0</v>
      </c>
      <c r="I123" s="7">
        <v>0.0</v>
      </c>
      <c r="J123" s="7">
        <v>0.0</v>
      </c>
      <c r="K123" s="7">
        <v>0.0</v>
      </c>
      <c r="L123" s="7">
        <v>0.0</v>
      </c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>
      <c r="A124" s="10">
        <v>18.0</v>
      </c>
      <c r="B124" s="14" t="s">
        <v>35</v>
      </c>
      <c r="C124" s="12">
        <f t="shared" si="7"/>
        <v>0</v>
      </c>
      <c r="D124" s="13"/>
      <c r="E124" s="12">
        <v>0.0</v>
      </c>
      <c r="F124" s="12">
        <v>0.0</v>
      </c>
      <c r="G124" s="12">
        <v>0.0</v>
      </c>
      <c r="H124" s="12">
        <v>0.0</v>
      </c>
      <c r="I124" s="12">
        <v>0.0</v>
      </c>
      <c r="J124" s="12">
        <v>0.0</v>
      </c>
      <c r="K124" s="12">
        <v>0.0</v>
      </c>
      <c r="L124" s="12">
        <v>0.0</v>
      </c>
    </row>
    <row r="125">
      <c r="A125" s="16">
        <v>19.0</v>
      </c>
      <c r="B125" s="11" t="s">
        <v>36</v>
      </c>
      <c r="C125" s="12">
        <f t="shared" si="7"/>
        <v>0</v>
      </c>
      <c r="D125" s="13"/>
      <c r="E125" s="12">
        <v>0.0</v>
      </c>
      <c r="F125" s="12">
        <v>0.0</v>
      </c>
      <c r="G125" s="12">
        <v>0.0</v>
      </c>
      <c r="H125" s="12">
        <v>0.0</v>
      </c>
      <c r="I125" s="12">
        <v>0.0</v>
      </c>
      <c r="J125" s="12">
        <v>0.0</v>
      </c>
      <c r="K125" s="12">
        <v>0.0</v>
      </c>
      <c r="L125" s="12">
        <v>0.0</v>
      </c>
    </row>
    <row r="126">
      <c r="A126" s="16">
        <v>20.0</v>
      </c>
      <c r="B126" s="14" t="s">
        <v>37</v>
      </c>
      <c r="C126" s="12">
        <f t="shared" si="7"/>
        <v>0</v>
      </c>
      <c r="D126" s="13"/>
      <c r="E126" s="12">
        <v>0.0</v>
      </c>
      <c r="F126" s="12">
        <v>0.0</v>
      </c>
      <c r="G126" s="12">
        <v>0.0</v>
      </c>
      <c r="H126" s="12">
        <v>0.0</v>
      </c>
      <c r="I126" s="12">
        <v>0.0</v>
      </c>
      <c r="J126" s="12">
        <v>0.0</v>
      </c>
      <c r="K126" s="12">
        <v>0.0</v>
      </c>
      <c r="L126" s="12">
        <v>0.0</v>
      </c>
    </row>
    <row r="127">
      <c r="A127" s="10">
        <v>21.0</v>
      </c>
      <c r="B127" s="11" t="s">
        <v>38</v>
      </c>
      <c r="C127" s="12">
        <f t="shared" si="7"/>
        <v>0</v>
      </c>
      <c r="D127" s="13"/>
      <c r="E127" s="12">
        <v>0.0</v>
      </c>
      <c r="F127" s="12">
        <v>0.0</v>
      </c>
      <c r="G127" s="12">
        <v>0.0</v>
      </c>
      <c r="H127" s="12">
        <v>0.0</v>
      </c>
      <c r="I127" s="12">
        <v>0.0</v>
      </c>
      <c r="J127" s="12">
        <v>0.0</v>
      </c>
      <c r="K127" s="12">
        <v>0.0</v>
      </c>
      <c r="L127" s="12">
        <v>0.0</v>
      </c>
    </row>
    <row r="128">
      <c r="A128" s="10">
        <v>22.0</v>
      </c>
      <c r="B128" s="11" t="s">
        <v>39</v>
      </c>
      <c r="C128" s="12">
        <f t="shared" si="7"/>
        <v>0</v>
      </c>
      <c r="D128" s="13"/>
      <c r="E128" s="12">
        <v>0.0</v>
      </c>
      <c r="F128" s="12">
        <v>0.0</v>
      </c>
      <c r="G128" s="12">
        <v>0.0</v>
      </c>
      <c r="H128" s="12">
        <v>0.0</v>
      </c>
      <c r="I128" s="12">
        <v>0.0</v>
      </c>
      <c r="J128" s="12">
        <v>0.0</v>
      </c>
      <c r="K128" s="12">
        <v>0.0</v>
      </c>
      <c r="L128" s="12">
        <v>0.0</v>
      </c>
    </row>
    <row r="129">
      <c r="A129" s="10">
        <v>23.0</v>
      </c>
      <c r="B129" s="14" t="s">
        <v>40</v>
      </c>
      <c r="C129" s="12">
        <f t="shared" si="7"/>
        <v>0</v>
      </c>
      <c r="D129" s="13"/>
      <c r="E129" s="12">
        <v>0.0</v>
      </c>
      <c r="F129" s="12">
        <v>0.0</v>
      </c>
      <c r="G129" s="12">
        <v>0.0</v>
      </c>
      <c r="H129" s="12">
        <v>0.0</v>
      </c>
      <c r="I129" s="12">
        <v>0.0</v>
      </c>
      <c r="J129" s="12">
        <v>0.0</v>
      </c>
      <c r="K129" s="12">
        <v>0.0</v>
      </c>
      <c r="L129" s="12">
        <v>0.0</v>
      </c>
    </row>
    <row r="130">
      <c r="A130" s="10">
        <v>24.0</v>
      </c>
      <c r="B130" s="14" t="s">
        <v>42</v>
      </c>
      <c r="C130" s="12">
        <f t="shared" si="7"/>
        <v>0</v>
      </c>
      <c r="D130" s="13"/>
      <c r="E130" s="12">
        <v>0.0</v>
      </c>
      <c r="F130" s="12">
        <v>0.0</v>
      </c>
      <c r="G130" s="12">
        <v>0.0</v>
      </c>
      <c r="H130" s="12">
        <v>0.0</v>
      </c>
      <c r="I130" s="12">
        <v>0.0</v>
      </c>
      <c r="J130" s="12">
        <v>0.0</v>
      </c>
      <c r="K130" s="12">
        <v>0.0</v>
      </c>
      <c r="L130" s="12">
        <v>0.0</v>
      </c>
    </row>
    <row r="131">
      <c r="A131" s="10">
        <v>25.0</v>
      </c>
      <c r="B131" s="14" t="s">
        <v>43</v>
      </c>
      <c r="C131" s="12">
        <f t="shared" si="7"/>
        <v>0</v>
      </c>
      <c r="D131" s="13"/>
      <c r="E131" s="12">
        <v>0.0</v>
      </c>
      <c r="F131" s="12">
        <v>0.0</v>
      </c>
      <c r="G131" s="12">
        <v>0.0</v>
      </c>
      <c r="H131" s="12">
        <v>0.0</v>
      </c>
      <c r="I131" s="12">
        <v>0.0</v>
      </c>
      <c r="J131" s="12">
        <v>0.0</v>
      </c>
      <c r="K131" s="12">
        <v>0.0</v>
      </c>
      <c r="L131" s="12">
        <v>0.0</v>
      </c>
    </row>
    <row r="132">
      <c r="A132" s="10">
        <v>26.0</v>
      </c>
      <c r="B132" s="11" t="s">
        <v>44</v>
      </c>
      <c r="C132" s="12">
        <f t="shared" si="7"/>
        <v>0</v>
      </c>
      <c r="D132" s="13"/>
      <c r="E132" s="12">
        <v>0.0</v>
      </c>
      <c r="F132" s="12">
        <v>0.0</v>
      </c>
      <c r="G132" s="12">
        <v>0.0</v>
      </c>
      <c r="H132" s="12">
        <v>0.0</v>
      </c>
      <c r="I132" s="12">
        <v>0.0</v>
      </c>
      <c r="J132" s="12">
        <v>0.0</v>
      </c>
      <c r="K132" s="12">
        <v>0.0</v>
      </c>
      <c r="L132" s="12">
        <v>0.0</v>
      </c>
    </row>
    <row r="133">
      <c r="A133" s="10">
        <v>27.0</v>
      </c>
      <c r="B133" s="11" t="s">
        <v>45</v>
      </c>
      <c r="C133" s="12">
        <f t="shared" si="7"/>
        <v>0</v>
      </c>
      <c r="D133" s="13"/>
      <c r="E133" s="12">
        <v>0.0</v>
      </c>
      <c r="F133" s="12">
        <v>0.0</v>
      </c>
      <c r="G133" s="12">
        <v>0.0</v>
      </c>
      <c r="H133" s="12">
        <v>0.0</v>
      </c>
      <c r="I133" s="12">
        <v>0.0</v>
      </c>
      <c r="J133" s="12">
        <v>0.0</v>
      </c>
      <c r="K133" s="12">
        <v>0.0</v>
      </c>
      <c r="L133" s="12">
        <v>0.0</v>
      </c>
    </row>
    <row r="134">
      <c r="A134" s="10">
        <v>28.0</v>
      </c>
      <c r="B134" s="17" t="s">
        <v>46</v>
      </c>
      <c r="C134" s="12">
        <f t="shared" si="7"/>
        <v>0</v>
      </c>
      <c r="D134" s="13"/>
      <c r="E134" s="12">
        <v>0.0</v>
      </c>
      <c r="F134" s="12">
        <v>0.0</v>
      </c>
      <c r="G134" s="12">
        <v>0.0</v>
      </c>
      <c r="H134" s="12">
        <v>0.0</v>
      </c>
      <c r="I134" s="12">
        <v>0.0</v>
      </c>
      <c r="J134" s="12">
        <v>0.0</v>
      </c>
      <c r="K134" s="12">
        <v>0.0</v>
      </c>
      <c r="L134" s="12">
        <v>0.0</v>
      </c>
    </row>
    <row r="135">
      <c r="A135" s="10">
        <v>29.0</v>
      </c>
      <c r="B135" s="11" t="s">
        <v>15</v>
      </c>
      <c r="C135" s="12">
        <f t="shared" si="7"/>
        <v>0</v>
      </c>
      <c r="D135" s="13"/>
      <c r="E135" s="12">
        <v>0.0</v>
      </c>
      <c r="F135" s="12">
        <v>0.0</v>
      </c>
      <c r="G135" s="12">
        <v>0.0</v>
      </c>
      <c r="H135" s="12">
        <v>0.0</v>
      </c>
      <c r="I135" s="12">
        <v>0.0</v>
      </c>
      <c r="J135" s="12">
        <v>0.0</v>
      </c>
      <c r="K135" s="12">
        <v>0.0</v>
      </c>
      <c r="L135" s="12">
        <v>0.0</v>
      </c>
    </row>
    <row r="136">
      <c r="A136" s="10">
        <v>30.0</v>
      </c>
      <c r="B136" s="11" t="s">
        <v>47</v>
      </c>
      <c r="C136" s="12">
        <f t="shared" si="7"/>
        <v>0</v>
      </c>
      <c r="D136" s="18"/>
      <c r="E136" s="12">
        <v>0.0</v>
      </c>
      <c r="F136" s="12">
        <v>0.0</v>
      </c>
      <c r="G136" s="12">
        <v>0.0</v>
      </c>
      <c r="H136" s="12">
        <v>0.0</v>
      </c>
      <c r="I136" s="12">
        <v>0.0</v>
      </c>
      <c r="J136" s="12">
        <v>0.0</v>
      </c>
      <c r="K136" s="12">
        <v>0.0</v>
      </c>
      <c r="L136" s="12">
        <v>0.0</v>
      </c>
    </row>
    <row r="137">
      <c r="A137" s="30" t="s">
        <v>63</v>
      </c>
      <c r="B137" s="3"/>
      <c r="C137" s="20">
        <f>SUM(C107:C136)</f>
        <v>157</v>
      </c>
      <c r="D137" s="21"/>
      <c r="E137" s="20">
        <f t="shared" ref="E137:L137" si="8">SUM(E107:E136)</f>
        <v>18</v>
      </c>
      <c r="F137" s="20">
        <f t="shared" si="8"/>
        <v>49</v>
      </c>
      <c r="G137" s="20">
        <f t="shared" si="8"/>
        <v>0</v>
      </c>
      <c r="H137" s="20">
        <f t="shared" si="8"/>
        <v>0</v>
      </c>
      <c r="I137" s="20">
        <f t="shared" si="8"/>
        <v>90</v>
      </c>
      <c r="J137" s="20">
        <f t="shared" si="8"/>
        <v>0</v>
      </c>
      <c r="K137" s="20">
        <f t="shared" si="8"/>
        <v>0</v>
      </c>
      <c r="L137" s="20">
        <f t="shared" si="8"/>
        <v>0</v>
      </c>
    </row>
    <row r="138">
      <c r="A138" s="31" t="s">
        <v>64</v>
      </c>
      <c r="B138" s="2"/>
      <c r="C138" s="3"/>
      <c r="D138" s="41"/>
      <c r="E138" s="33">
        <f>C103+C137</f>
        <v>413</v>
      </c>
      <c r="F138" s="41"/>
      <c r="G138" s="2"/>
      <c r="H138" s="2"/>
      <c r="I138" s="2"/>
      <c r="J138" s="2"/>
      <c r="K138" s="2"/>
      <c r="L138" s="3"/>
    </row>
    <row r="139">
      <c r="A139" s="2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3"/>
    </row>
    <row r="140">
      <c r="A140" s="35" t="s">
        <v>65</v>
      </c>
      <c r="B140" s="2"/>
      <c r="C140" s="3"/>
      <c r="D140" s="42"/>
      <c r="E140" s="6" t="s">
        <v>66</v>
      </c>
      <c r="F140" s="2"/>
      <c r="G140" s="2"/>
      <c r="H140" s="2"/>
      <c r="I140" s="2"/>
      <c r="J140" s="2"/>
      <c r="K140" s="2"/>
      <c r="L140" s="3"/>
    </row>
    <row r="141">
      <c r="A141" s="7" t="s">
        <v>5</v>
      </c>
      <c r="B141" s="7" t="s">
        <v>67</v>
      </c>
      <c r="C141" s="7" t="s">
        <v>7</v>
      </c>
      <c r="D141" s="8"/>
      <c r="E141" s="9" t="s">
        <v>8</v>
      </c>
      <c r="F141" s="9" t="s">
        <v>9</v>
      </c>
      <c r="G141" s="9" t="s">
        <v>10</v>
      </c>
      <c r="H141" s="9" t="s">
        <v>11</v>
      </c>
      <c r="I141" s="9" t="s">
        <v>12</v>
      </c>
      <c r="J141" s="9" t="s">
        <v>13</v>
      </c>
      <c r="K141" s="9" t="s">
        <v>14</v>
      </c>
      <c r="L141" s="9" t="s">
        <v>15</v>
      </c>
    </row>
    <row r="142">
      <c r="A142" s="27">
        <v>1.0</v>
      </c>
      <c r="B142" s="17" t="s">
        <v>16</v>
      </c>
      <c r="C142" s="7">
        <f t="shared" ref="C142:C171" si="9">E142+F142+G142+H142+I142+J142+K142+L142</f>
        <v>0</v>
      </c>
      <c r="D142" s="13"/>
      <c r="E142" s="7">
        <v>0.0</v>
      </c>
      <c r="F142" s="7">
        <v>0.0</v>
      </c>
      <c r="G142" s="7">
        <v>0.0</v>
      </c>
      <c r="H142" s="7">
        <v>0.0</v>
      </c>
      <c r="I142" s="7">
        <v>0.0</v>
      </c>
      <c r="J142" s="7">
        <v>0.0</v>
      </c>
      <c r="K142" s="7">
        <v>0.0</v>
      </c>
      <c r="L142" s="7">
        <v>0.0</v>
      </c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>
      <c r="A143" s="10">
        <v>2.0</v>
      </c>
      <c r="B143" s="11" t="s">
        <v>17</v>
      </c>
      <c r="C143" s="12">
        <f t="shared" si="9"/>
        <v>0</v>
      </c>
      <c r="D143" s="13"/>
      <c r="E143" s="12">
        <v>0.0</v>
      </c>
      <c r="F143" s="12">
        <v>0.0</v>
      </c>
      <c r="G143" s="12">
        <v>0.0</v>
      </c>
      <c r="H143" s="12">
        <v>0.0</v>
      </c>
      <c r="I143" s="12">
        <v>0.0</v>
      </c>
      <c r="J143" s="12">
        <v>0.0</v>
      </c>
      <c r="K143" s="12">
        <v>0.0</v>
      </c>
      <c r="L143" s="12">
        <v>0.0</v>
      </c>
    </row>
    <row r="144">
      <c r="A144" s="10">
        <v>3.0</v>
      </c>
      <c r="B144" s="11" t="s">
        <v>18</v>
      </c>
      <c r="C144" s="12">
        <f t="shared" si="9"/>
        <v>0</v>
      </c>
      <c r="D144" s="13"/>
      <c r="E144" s="12">
        <v>0.0</v>
      </c>
      <c r="F144" s="12">
        <v>0.0</v>
      </c>
      <c r="G144" s="12">
        <v>0.0</v>
      </c>
      <c r="H144" s="12">
        <v>0.0</v>
      </c>
      <c r="I144" s="12">
        <v>0.0</v>
      </c>
      <c r="J144" s="12">
        <v>0.0</v>
      </c>
      <c r="K144" s="12">
        <v>0.0</v>
      </c>
      <c r="L144" s="12">
        <v>0.0</v>
      </c>
    </row>
    <row r="145">
      <c r="A145" s="10">
        <v>4.0</v>
      </c>
      <c r="B145" s="11" t="s">
        <v>19</v>
      </c>
      <c r="C145" s="12">
        <f t="shared" si="9"/>
        <v>0</v>
      </c>
      <c r="D145" s="13"/>
      <c r="E145" s="12">
        <v>0.0</v>
      </c>
      <c r="F145" s="12">
        <v>0.0</v>
      </c>
      <c r="G145" s="12">
        <v>0.0</v>
      </c>
      <c r="H145" s="12">
        <v>0.0</v>
      </c>
      <c r="I145" s="12">
        <v>0.0</v>
      </c>
      <c r="J145" s="12">
        <v>0.0</v>
      </c>
      <c r="K145" s="12">
        <v>0.0</v>
      </c>
      <c r="L145" s="12">
        <v>0.0</v>
      </c>
    </row>
    <row r="146">
      <c r="A146" s="27">
        <v>5.0</v>
      </c>
      <c r="B146" s="17" t="s">
        <v>20</v>
      </c>
      <c r="C146" s="7">
        <f t="shared" si="9"/>
        <v>26</v>
      </c>
      <c r="D146" s="13"/>
      <c r="E146" s="7">
        <v>26.0</v>
      </c>
      <c r="F146" s="7">
        <v>0.0</v>
      </c>
      <c r="G146" s="7">
        <v>0.0</v>
      </c>
      <c r="H146" s="7">
        <v>0.0</v>
      </c>
      <c r="I146" s="7">
        <v>0.0</v>
      </c>
      <c r="J146" s="7">
        <v>0.0</v>
      </c>
      <c r="K146" s="7">
        <v>0.0</v>
      </c>
      <c r="L146" s="7">
        <v>0.0</v>
      </c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>
      <c r="A147" s="10">
        <v>6.0</v>
      </c>
      <c r="B147" s="14" t="s">
        <v>21</v>
      </c>
      <c r="C147" s="12">
        <f t="shared" si="9"/>
        <v>0</v>
      </c>
      <c r="D147" s="13"/>
      <c r="E147" s="12">
        <v>0.0</v>
      </c>
      <c r="F147" s="12">
        <v>0.0</v>
      </c>
      <c r="G147" s="12">
        <v>0.0</v>
      </c>
      <c r="H147" s="12">
        <v>0.0</v>
      </c>
      <c r="I147" s="12">
        <v>0.0</v>
      </c>
      <c r="J147" s="12">
        <v>0.0</v>
      </c>
      <c r="K147" s="12">
        <v>0.0</v>
      </c>
      <c r="L147" s="12">
        <v>0.0</v>
      </c>
    </row>
    <row r="148">
      <c r="A148" s="10">
        <v>7.0</v>
      </c>
      <c r="B148" s="11" t="s">
        <v>23</v>
      </c>
      <c r="C148" s="12">
        <f t="shared" si="9"/>
        <v>0</v>
      </c>
      <c r="D148" s="13"/>
      <c r="E148" s="12">
        <v>0.0</v>
      </c>
      <c r="F148" s="12">
        <v>0.0</v>
      </c>
      <c r="G148" s="12">
        <v>0.0</v>
      </c>
      <c r="H148" s="12">
        <v>0.0</v>
      </c>
      <c r="I148" s="12">
        <v>0.0</v>
      </c>
      <c r="J148" s="12">
        <v>0.0</v>
      </c>
      <c r="K148" s="12">
        <v>0.0</v>
      </c>
      <c r="L148" s="12">
        <v>0.0</v>
      </c>
    </row>
    <row r="149">
      <c r="A149" s="10">
        <v>8.0</v>
      </c>
      <c r="B149" s="11" t="s">
        <v>25</v>
      </c>
      <c r="C149" s="12">
        <f t="shared" si="9"/>
        <v>0</v>
      </c>
      <c r="D149" s="13"/>
      <c r="E149" s="12">
        <v>0.0</v>
      </c>
      <c r="F149" s="12">
        <v>0.0</v>
      </c>
      <c r="G149" s="12">
        <v>0.0</v>
      </c>
      <c r="H149" s="12">
        <v>0.0</v>
      </c>
      <c r="I149" s="12">
        <v>0.0</v>
      </c>
      <c r="J149" s="12">
        <v>0.0</v>
      </c>
      <c r="K149" s="12">
        <v>0.0</v>
      </c>
      <c r="L149" s="12">
        <v>0.0</v>
      </c>
    </row>
    <row r="150">
      <c r="A150" s="10">
        <v>9.0</v>
      </c>
      <c r="B150" s="17" t="s">
        <v>26</v>
      </c>
      <c r="C150" s="7">
        <f t="shared" si="9"/>
        <v>0</v>
      </c>
      <c r="D150" s="13"/>
      <c r="E150" s="12">
        <v>0.0</v>
      </c>
      <c r="F150" s="7">
        <v>0.0</v>
      </c>
      <c r="G150" s="12">
        <v>0.0</v>
      </c>
      <c r="H150" s="12">
        <v>0.0</v>
      </c>
      <c r="I150" s="12">
        <v>0.0</v>
      </c>
      <c r="J150" s="12">
        <v>0.0</v>
      </c>
      <c r="K150" s="12">
        <v>0.0</v>
      </c>
      <c r="L150" s="12">
        <v>0.0</v>
      </c>
    </row>
    <row r="151">
      <c r="A151" s="10">
        <v>10.0</v>
      </c>
      <c r="B151" s="29" t="s">
        <v>27</v>
      </c>
      <c r="C151" s="12">
        <f t="shared" si="9"/>
        <v>2</v>
      </c>
      <c r="D151" s="13"/>
      <c r="E151" s="12">
        <v>0.0</v>
      </c>
      <c r="F151" s="12">
        <v>0.0</v>
      </c>
      <c r="G151" s="7">
        <v>2.0</v>
      </c>
      <c r="H151" s="12">
        <v>0.0</v>
      </c>
      <c r="I151" s="12">
        <v>0.0</v>
      </c>
      <c r="J151" s="12">
        <v>0.0</v>
      </c>
      <c r="K151" s="12">
        <v>0.0</v>
      </c>
      <c r="L151" s="12">
        <v>0.0</v>
      </c>
    </row>
    <row r="152">
      <c r="A152" s="10">
        <v>11.0</v>
      </c>
      <c r="B152" s="11" t="s">
        <v>28</v>
      </c>
      <c r="C152" s="12">
        <f t="shared" si="9"/>
        <v>0</v>
      </c>
      <c r="D152" s="13"/>
      <c r="E152" s="12">
        <v>0.0</v>
      </c>
      <c r="F152" s="12">
        <v>0.0</v>
      </c>
      <c r="G152" s="12">
        <v>0.0</v>
      </c>
      <c r="H152" s="12">
        <v>0.0</v>
      </c>
      <c r="I152" s="12">
        <v>0.0</v>
      </c>
      <c r="J152" s="12">
        <v>0.0</v>
      </c>
      <c r="K152" s="12">
        <v>0.0</v>
      </c>
      <c r="L152" s="12">
        <v>0.0</v>
      </c>
    </row>
    <row r="153">
      <c r="A153" s="27">
        <v>12.0</v>
      </c>
      <c r="B153" s="17" t="s">
        <v>29</v>
      </c>
      <c r="C153" s="7">
        <f t="shared" si="9"/>
        <v>19</v>
      </c>
      <c r="D153" s="13"/>
      <c r="E153" s="7">
        <v>0.0</v>
      </c>
      <c r="F153" s="7">
        <v>19.0</v>
      </c>
      <c r="G153" s="7">
        <v>0.0</v>
      </c>
      <c r="H153" s="7">
        <v>0.0</v>
      </c>
      <c r="I153" s="7">
        <v>0.0</v>
      </c>
      <c r="J153" s="7">
        <v>0.0</v>
      </c>
      <c r="K153" s="7">
        <v>0.0</v>
      </c>
      <c r="L153" s="7">
        <v>0.0</v>
      </c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>
      <c r="A154" s="27">
        <v>13.0</v>
      </c>
      <c r="B154" s="17" t="s">
        <v>30</v>
      </c>
      <c r="C154" s="7">
        <f t="shared" si="9"/>
        <v>2</v>
      </c>
      <c r="D154" s="13"/>
      <c r="E154" s="7">
        <v>0.0</v>
      </c>
      <c r="F154" s="7">
        <v>0.0</v>
      </c>
      <c r="G154" s="7">
        <v>2.0</v>
      </c>
      <c r="H154" s="7">
        <v>0.0</v>
      </c>
      <c r="I154" s="7">
        <v>0.0</v>
      </c>
      <c r="J154" s="7">
        <v>0.0</v>
      </c>
      <c r="K154" s="7">
        <v>0.0</v>
      </c>
      <c r="L154" s="7">
        <v>0.0</v>
      </c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>
      <c r="A155" s="10">
        <v>14.0</v>
      </c>
      <c r="B155" s="11" t="s">
        <v>31</v>
      </c>
      <c r="C155" s="12">
        <f t="shared" si="9"/>
        <v>0</v>
      </c>
      <c r="D155" s="13"/>
      <c r="E155" s="12">
        <v>0.0</v>
      </c>
      <c r="F155" s="12">
        <v>0.0</v>
      </c>
      <c r="G155" s="12">
        <v>0.0</v>
      </c>
      <c r="H155" s="12">
        <v>0.0</v>
      </c>
      <c r="I155" s="12">
        <v>0.0</v>
      </c>
      <c r="J155" s="12">
        <v>0.0</v>
      </c>
      <c r="K155" s="12">
        <v>0.0</v>
      </c>
      <c r="L155" s="12">
        <v>0.0</v>
      </c>
    </row>
    <row r="156">
      <c r="A156" s="10">
        <v>15.0</v>
      </c>
      <c r="B156" s="11" t="s">
        <v>32</v>
      </c>
      <c r="C156" s="12">
        <f t="shared" si="9"/>
        <v>0</v>
      </c>
      <c r="D156" s="13"/>
      <c r="E156" s="12">
        <v>0.0</v>
      </c>
      <c r="F156" s="12">
        <v>0.0</v>
      </c>
      <c r="G156" s="12">
        <v>0.0</v>
      </c>
      <c r="H156" s="12">
        <v>0.0</v>
      </c>
      <c r="I156" s="12">
        <v>0.0</v>
      </c>
      <c r="J156" s="12">
        <v>0.0</v>
      </c>
      <c r="K156" s="12">
        <v>0.0</v>
      </c>
      <c r="L156" s="12">
        <v>0.0</v>
      </c>
    </row>
    <row r="157">
      <c r="A157" s="10">
        <v>16.0</v>
      </c>
      <c r="B157" s="14" t="s">
        <v>33</v>
      </c>
      <c r="C157" s="12">
        <f t="shared" si="9"/>
        <v>0</v>
      </c>
      <c r="D157" s="13"/>
      <c r="E157" s="12">
        <v>0.0</v>
      </c>
      <c r="F157" s="12">
        <v>0.0</v>
      </c>
      <c r="G157" s="12">
        <v>0.0</v>
      </c>
      <c r="H157" s="12">
        <v>0.0</v>
      </c>
      <c r="I157" s="12">
        <v>0.0</v>
      </c>
      <c r="J157" s="12">
        <v>0.0</v>
      </c>
      <c r="K157" s="12">
        <v>0.0</v>
      </c>
      <c r="L157" s="12">
        <v>0.0</v>
      </c>
    </row>
    <row r="158">
      <c r="A158" s="27">
        <v>17.0</v>
      </c>
      <c r="B158" s="29" t="s">
        <v>34</v>
      </c>
      <c r="C158" s="7">
        <f t="shared" si="9"/>
        <v>3</v>
      </c>
      <c r="D158" s="13"/>
      <c r="E158" s="7">
        <v>0.0</v>
      </c>
      <c r="F158" s="7">
        <v>3.0</v>
      </c>
      <c r="G158" s="7">
        <v>0.0</v>
      </c>
      <c r="H158" s="7">
        <v>0.0</v>
      </c>
      <c r="I158" s="7">
        <v>0.0</v>
      </c>
      <c r="J158" s="7">
        <v>0.0</v>
      </c>
      <c r="K158" s="7">
        <v>0.0</v>
      </c>
      <c r="L158" s="7">
        <v>0.0</v>
      </c>
      <c r="M158" s="28"/>
      <c r="N158" s="43" t="s">
        <v>0</v>
      </c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>
      <c r="A159" s="10">
        <v>18.0</v>
      </c>
      <c r="B159" s="14" t="s">
        <v>35</v>
      </c>
      <c r="C159" s="12">
        <f t="shared" si="9"/>
        <v>0</v>
      </c>
      <c r="D159" s="13"/>
      <c r="E159" s="12">
        <v>0.0</v>
      </c>
      <c r="F159" s="12">
        <v>0.0</v>
      </c>
      <c r="G159" s="12">
        <v>0.0</v>
      </c>
      <c r="H159" s="12">
        <v>0.0</v>
      </c>
      <c r="I159" s="12">
        <v>0.0</v>
      </c>
      <c r="J159" s="12">
        <v>0.0</v>
      </c>
      <c r="K159" s="12">
        <v>0.0</v>
      </c>
      <c r="L159" s="12">
        <v>0.0</v>
      </c>
    </row>
    <row r="160">
      <c r="A160" s="16">
        <v>19.0</v>
      </c>
      <c r="B160" s="11" t="s">
        <v>36</v>
      </c>
      <c r="C160" s="12">
        <f t="shared" si="9"/>
        <v>0</v>
      </c>
      <c r="D160" s="13"/>
      <c r="E160" s="12">
        <v>0.0</v>
      </c>
      <c r="F160" s="12">
        <v>0.0</v>
      </c>
      <c r="G160" s="12">
        <v>0.0</v>
      </c>
      <c r="H160" s="12">
        <v>0.0</v>
      </c>
      <c r="I160" s="12">
        <v>0.0</v>
      </c>
      <c r="J160" s="12">
        <v>0.0</v>
      </c>
      <c r="K160" s="12">
        <v>0.0</v>
      </c>
      <c r="L160" s="12">
        <v>0.0</v>
      </c>
    </row>
    <row r="161">
      <c r="A161" s="16">
        <v>20.0</v>
      </c>
      <c r="B161" s="14" t="s">
        <v>37</v>
      </c>
      <c r="C161" s="12">
        <f t="shared" si="9"/>
        <v>0</v>
      </c>
      <c r="D161" s="13"/>
      <c r="E161" s="12">
        <v>0.0</v>
      </c>
      <c r="F161" s="12">
        <v>0.0</v>
      </c>
      <c r="G161" s="12">
        <v>0.0</v>
      </c>
      <c r="H161" s="12">
        <v>0.0</v>
      </c>
      <c r="I161" s="12">
        <v>0.0</v>
      </c>
      <c r="J161" s="12">
        <v>0.0</v>
      </c>
      <c r="K161" s="12">
        <v>0.0</v>
      </c>
      <c r="L161" s="12">
        <v>0.0</v>
      </c>
    </row>
    <row r="162">
      <c r="A162" s="10">
        <v>21.0</v>
      </c>
      <c r="B162" s="11" t="s">
        <v>38</v>
      </c>
      <c r="C162" s="12">
        <f t="shared" si="9"/>
        <v>0</v>
      </c>
      <c r="D162" s="13"/>
      <c r="E162" s="12">
        <v>0.0</v>
      </c>
      <c r="F162" s="12">
        <v>0.0</v>
      </c>
      <c r="G162" s="12">
        <v>0.0</v>
      </c>
      <c r="H162" s="12">
        <v>0.0</v>
      </c>
      <c r="I162" s="12">
        <v>0.0</v>
      </c>
      <c r="J162" s="12">
        <v>0.0</v>
      </c>
      <c r="K162" s="12">
        <v>0.0</v>
      </c>
      <c r="L162" s="12">
        <v>0.0</v>
      </c>
    </row>
    <row r="163">
      <c r="A163" s="10">
        <v>22.0</v>
      </c>
      <c r="B163" s="11" t="s">
        <v>39</v>
      </c>
      <c r="C163" s="12">
        <f t="shared" si="9"/>
        <v>0</v>
      </c>
      <c r="D163" s="13"/>
      <c r="E163" s="12">
        <v>0.0</v>
      </c>
      <c r="F163" s="12">
        <v>0.0</v>
      </c>
      <c r="G163" s="12">
        <v>0.0</v>
      </c>
      <c r="H163" s="12">
        <v>0.0</v>
      </c>
      <c r="I163" s="12">
        <v>0.0</v>
      </c>
      <c r="J163" s="12">
        <v>0.0</v>
      </c>
      <c r="K163" s="12">
        <v>0.0</v>
      </c>
      <c r="L163" s="12">
        <v>0.0</v>
      </c>
    </row>
    <row r="164">
      <c r="A164" s="10">
        <v>23.0</v>
      </c>
      <c r="B164" s="29" t="s">
        <v>40</v>
      </c>
      <c r="C164" s="7">
        <f t="shared" si="9"/>
        <v>71</v>
      </c>
      <c r="D164" s="13"/>
      <c r="E164" s="7">
        <v>3.0</v>
      </c>
      <c r="F164" s="7">
        <v>68.0</v>
      </c>
      <c r="G164" s="7">
        <v>0.0</v>
      </c>
      <c r="H164" s="12">
        <v>0.0</v>
      </c>
      <c r="I164" s="12">
        <v>0.0</v>
      </c>
      <c r="J164" s="12">
        <v>0.0</v>
      </c>
      <c r="K164" s="12">
        <v>0.0</v>
      </c>
      <c r="L164" s="12">
        <v>0.0</v>
      </c>
    </row>
    <row r="165">
      <c r="A165" s="10">
        <v>24.0</v>
      </c>
      <c r="B165" s="29" t="s">
        <v>42</v>
      </c>
      <c r="C165" s="12">
        <f t="shared" si="9"/>
        <v>2</v>
      </c>
      <c r="D165" s="13"/>
      <c r="E165" s="12">
        <v>0.0</v>
      </c>
      <c r="F165" s="12">
        <v>0.0</v>
      </c>
      <c r="G165" s="7">
        <v>2.0</v>
      </c>
      <c r="H165" s="12">
        <v>0.0</v>
      </c>
      <c r="I165" s="12">
        <v>0.0</v>
      </c>
      <c r="J165" s="12">
        <v>0.0</v>
      </c>
      <c r="K165" s="12">
        <v>0.0</v>
      </c>
      <c r="L165" s="12">
        <v>0.0</v>
      </c>
    </row>
    <row r="166">
      <c r="A166" s="10">
        <v>25.0</v>
      </c>
      <c r="B166" s="14" t="s">
        <v>43</v>
      </c>
      <c r="C166" s="12">
        <f t="shared" si="9"/>
        <v>0</v>
      </c>
      <c r="D166" s="13"/>
      <c r="E166" s="12">
        <v>0.0</v>
      </c>
      <c r="F166" s="12">
        <v>0.0</v>
      </c>
      <c r="G166" s="12">
        <v>0.0</v>
      </c>
      <c r="H166" s="12">
        <v>0.0</v>
      </c>
      <c r="I166" s="12">
        <v>0.0</v>
      </c>
      <c r="J166" s="12">
        <v>0.0</v>
      </c>
      <c r="K166" s="12">
        <v>0.0</v>
      </c>
      <c r="L166" s="12">
        <v>0.0</v>
      </c>
    </row>
    <row r="167">
      <c r="A167" s="10">
        <v>26.0</v>
      </c>
      <c r="B167" s="11" t="s">
        <v>44</v>
      </c>
      <c r="C167" s="12">
        <f t="shared" si="9"/>
        <v>0</v>
      </c>
      <c r="D167" s="13"/>
      <c r="E167" s="12">
        <v>0.0</v>
      </c>
      <c r="F167" s="12">
        <v>0.0</v>
      </c>
      <c r="G167" s="12">
        <v>0.0</v>
      </c>
      <c r="H167" s="12">
        <v>0.0</v>
      </c>
      <c r="I167" s="12">
        <v>0.0</v>
      </c>
      <c r="J167" s="12">
        <v>0.0</v>
      </c>
      <c r="K167" s="12">
        <v>0.0</v>
      </c>
      <c r="L167" s="12">
        <v>0.0</v>
      </c>
    </row>
    <row r="168">
      <c r="A168" s="10">
        <v>27.0</v>
      </c>
      <c r="B168" s="11" t="s">
        <v>45</v>
      </c>
      <c r="C168" s="12">
        <f t="shared" si="9"/>
        <v>0</v>
      </c>
      <c r="D168" s="13"/>
      <c r="E168" s="12">
        <v>0.0</v>
      </c>
      <c r="F168" s="12">
        <v>0.0</v>
      </c>
      <c r="G168" s="12">
        <v>0.0</v>
      </c>
      <c r="H168" s="12">
        <v>0.0</v>
      </c>
      <c r="I168" s="12">
        <v>0.0</v>
      </c>
      <c r="J168" s="12">
        <v>0.0</v>
      </c>
      <c r="K168" s="12">
        <v>0.0</v>
      </c>
      <c r="L168" s="12">
        <v>0.0</v>
      </c>
    </row>
    <row r="169">
      <c r="A169" s="10">
        <v>28.0</v>
      </c>
      <c r="B169" s="17" t="s">
        <v>46</v>
      </c>
      <c r="C169" s="12">
        <f t="shared" si="9"/>
        <v>0</v>
      </c>
      <c r="D169" s="13"/>
      <c r="E169" s="12">
        <v>0.0</v>
      </c>
      <c r="F169" s="12">
        <v>0.0</v>
      </c>
      <c r="G169" s="12">
        <v>0.0</v>
      </c>
      <c r="H169" s="12">
        <v>0.0</v>
      </c>
      <c r="I169" s="12">
        <v>0.0</v>
      </c>
      <c r="J169" s="12">
        <v>0.0</v>
      </c>
      <c r="K169" s="12">
        <v>0.0</v>
      </c>
      <c r="L169" s="12">
        <v>0.0</v>
      </c>
    </row>
    <row r="170">
      <c r="A170" s="10">
        <v>29.0</v>
      </c>
      <c r="B170" s="11" t="s">
        <v>15</v>
      </c>
      <c r="C170" s="12">
        <f t="shared" si="9"/>
        <v>0</v>
      </c>
      <c r="D170" s="13"/>
      <c r="E170" s="12">
        <v>0.0</v>
      </c>
      <c r="F170" s="12">
        <v>0.0</v>
      </c>
      <c r="G170" s="12">
        <v>0.0</v>
      </c>
      <c r="H170" s="12">
        <v>0.0</v>
      </c>
      <c r="I170" s="12">
        <v>0.0</v>
      </c>
      <c r="J170" s="12">
        <v>0.0</v>
      </c>
      <c r="K170" s="12">
        <v>0.0</v>
      </c>
      <c r="L170" s="12">
        <v>0.0</v>
      </c>
    </row>
    <row r="171">
      <c r="A171" s="10">
        <v>30.0</v>
      </c>
      <c r="B171" s="11" t="s">
        <v>47</v>
      </c>
      <c r="C171" s="12">
        <f t="shared" si="9"/>
        <v>0</v>
      </c>
      <c r="D171" s="18"/>
      <c r="E171" s="12">
        <v>0.0</v>
      </c>
      <c r="F171" s="12">
        <v>0.0</v>
      </c>
      <c r="G171" s="12">
        <v>0.0</v>
      </c>
      <c r="H171" s="12">
        <v>0.0</v>
      </c>
      <c r="I171" s="12">
        <v>0.0</v>
      </c>
      <c r="J171" s="12">
        <v>0.0</v>
      </c>
      <c r="K171" s="12">
        <v>0.0</v>
      </c>
      <c r="L171" s="12">
        <v>0.0</v>
      </c>
    </row>
    <row r="172">
      <c r="A172" s="19" t="s">
        <v>68</v>
      </c>
      <c r="B172" s="3"/>
      <c r="C172" s="20">
        <f>SUM(C142:C171)</f>
        <v>125</v>
      </c>
      <c r="D172" s="21"/>
      <c r="E172" s="20">
        <f t="shared" ref="E172:L172" si="10">SUM(E142:E171)</f>
        <v>29</v>
      </c>
      <c r="F172" s="20">
        <f t="shared" si="10"/>
        <v>90</v>
      </c>
      <c r="G172" s="20">
        <f t="shared" si="10"/>
        <v>6</v>
      </c>
      <c r="H172" s="20">
        <f t="shared" si="10"/>
        <v>0</v>
      </c>
      <c r="I172" s="20">
        <f t="shared" si="10"/>
        <v>0</v>
      </c>
      <c r="J172" s="20">
        <f t="shared" si="10"/>
        <v>0</v>
      </c>
      <c r="K172" s="20">
        <f t="shared" si="10"/>
        <v>0</v>
      </c>
      <c r="L172" s="20">
        <f t="shared" si="10"/>
        <v>0</v>
      </c>
    </row>
    <row r="173">
      <c r="A173" s="2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3"/>
    </row>
    <row r="174">
      <c r="A174" s="39" t="s">
        <v>69</v>
      </c>
      <c r="B174" s="2"/>
      <c r="C174" s="3"/>
      <c r="D174" s="40"/>
      <c r="E174" s="26" t="s">
        <v>70</v>
      </c>
      <c r="F174" s="2"/>
      <c r="G174" s="2"/>
      <c r="H174" s="2"/>
      <c r="I174" s="2"/>
      <c r="J174" s="2"/>
      <c r="K174" s="2"/>
      <c r="L174" s="3"/>
    </row>
    <row r="175">
      <c r="A175" s="7" t="s">
        <v>5</v>
      </c>
      <c r="B175" s="7" t="s">
        <v>71</v>
      </c>
      <c r="C175" s="7" t="s">
        <v>7</v>
      </c>
      <c r="D175" s="8"/>
      <c r="E175" s="9" t="s">
        <v>8</v>
      </c>
      <c r="F175" s="9" t="s">
        <v>9</v>
      </c>
      <c r="G175" s="9" t="s">
        <v>10</v>
      </c>
      <c r="H175" s="9" t="s">
        <v>11</v>
      </c>
      <c r="I175" s="9" t="s">
        <v>12</v>
      </c>
      <c r="J175" s="9" t="s">
        <v>13</v>
      </c>
      <c r="K175" s="9" t="s">
        <v>14</v>
      </c>
      <c r="L175" s="9" t="s">
        <v>15</v>
      </c>
    </row>
    <row r="176">
      <c r="A176" s="10">
        <v>1.0</v>
      </c>
      <c r="B176" s="11" t="s">
        <v>16</v>
      </c>
      <c r="C176" s="7">
        <f t="shared" ref="C176:C205" si="11">E176+F176+G176+H176+I176+J176+K176+L176</f>
        <v>8</v>
      </c>
      <c r="D176" s="13"/>
      <c r="E176" s="12">
        <v>0.0</v>
      </c>
      <c r="F176" s="12">
        <v>0.0</v>
      </c>
      <c r="G176" s="12">
        <v>0.0</v>
      </c>
      <c r="H176" s="12">
        <v>0.0</v>
      </c>
      <c r="I176" s="7">
        <v>8.0</v>
      </c>
      <c r="J176" s="12">
        <v>0.0</v>
      </c>
      <c r="K176" s="12">
        <v>0.0</v>
      </c>
      <c r="L176" s="12">
        <v>0.0</v>
      </c>
    </row>
    <row r="177">
      <c r="A177" s="10">
        <v>2.0</v>
      </c>
      <c r="B177" s="11" t="s">
        <v>17</v>
      </c>
      <c r="C177" s="12">
        <f t="shared" si="11"/>
        <v>0</v>
      </c>
      <c r="D177" s="13"/>
      <c r="E177" s="12">
        <v>0.0</v>
      </c>
      <c r="F177" s="12">
        <v>0.0</v>
      </c>
      <c r="G177" s="12">
        <v>0.0</v>
      </c>
      <c r="H177" s="12">
        <v>0.0</v>
      </c>
      <c r="I177" s="12">
        <v>0.0</v>
      </c>
      <c r="J177" s="12">
        <v>0.0</v>
      </c>
      <c r="K177" s="12">
        <v>0.0</v>
      </c>
      <c r="L177" s="12">
        <v>0.0</v>
      </c>
    </row>
    <row r="178">
      <c r="A178" s="10">
        <v>3.0</v>
      </c>
      <c r="B178" s="11" t="s">
        <v>18</v>
      </c>
      <c r="C178" s="12">
        <f t="shared" si="11"/>
        <v>0</v>
      </c>
      <c r="D178" s="13"/>
      <c r="E178" s="12">
        <v>0.0</v>
      </c>
      <c r="F178" s="12">
        <v>0.0</v>
      </c>
      <c r="G178" s="12">
        <v>0.0</v>
      </c>
      <c r="H178" s="12">
        <v>0.0</v>
      </c>
      <c r="I178" s="12">
        <v>0.0</v>
      </c>
      <c r="J178" s="12">
        <v>0.0</v>
      </c>
      <c r="K178" s="12">
        <v>0.0</v>
      </c>
      <c r="L178" s="12">
        <v>0.0</v>
      </c>
    </row>
    <row r="179">
      <c r="A179" s="10">
        <v>4.0</v>
      </c>
      <c r="B179" s="11" t="s">
        <v>19</v>
      </c>
      <c r="C179" s="12">
        <f t="shared" si="11"/>
        <v>0</v>
      </c>
      <c r="D179" s="13"/>
      <c r="E179" s="12">
        <v>0.0</v>
      </c>
      <c r="F179" s="12">
        <v>0.0</v>
      </c>
      <c r="G179" s="12">
        <v>0.0</v>
      </c>
      <c r="H179" s="12">
        <v>0.0</v>
      </c>
      <c r="I179" s="12">
        <v>0.0</v>
      </c>
      <c r="J179" s="12">
        <v>0.0</v>
      </c>
      <c r="K179" s="12">
        <v>0.0</v>
      </c>
      <c r="L179" s="12">
        <v>0.0</v>
      </c>
    </row>
    <row r="180">
      <c r="A180" s="10">
        <v>5.0</v>
      </c>
      <c r="B180" s="17" t="s">
        <v>20</v>
      </c>
      <c r="C180" s="7">
        <f t="shared" si="11"/>
        <v>15</v>
      </c>
      <c r="D180" s="13"/>
      <c r="E180" s="7">
        <v>15.0</v>
      </c>
      <c r="F180" s="12">
        <v>0.0</v>
      </c>
      <c r="G180" s="12">
        <v>0.0</v>
      </c>
      <c r="H180" s="12">
        <v>0.0</v>
      </c>
      <c r="I180" s="12">
        <v>0.0</v>
      </c>
      <c r="J180" s="12">
        <v>0.0</v>
      </c>
      <c r="K180" s="12">
        <v>0.0</v>
      </c>
      <c r="L180" s="12">
        <v>0.0</v>
      </c>
    </row>
    <row r="181">
      <c r="A181" s="10">
        <v>6.0</v>
      </c>
      <c r="B181" s="14" t="s">
        <v>21</v>
      </c>
      <c r="C181" s="12">
        <f t="shared" si="11"/>
        <v>0</v>
      </c>
      <c r="D181" s="13"/>
      <c r="E181" s="12">
        <v>0.0</v>
      </c>
      <c r="F181" s="12">
        <v>0.0</v>
      </c>
      <c r="G181" s="12">
        <v>0.0</v>
      </c>
      <c r="H181" s="12">
        <v>0.0</v>
      </c>
      <c r="I181" s="12">
        <v>0.0</v>
      </c>
      <c r="J181" s="12">
        <v>0.0</v>
      </c>
      <c r="K181" s="12">
        <v>0.0</v>
      </c>
      <c r="L181" s="12">
        <v>0.0</v>
      </c>
    </row>
    <row r="182">
      <c r="A182" s="10">
        <v>7.0</v>
      </c>
      <c r="B182" s="11" t="s">
        <v>23</v>
      </c>
      <c r="C182" s="12">
        <f t="shared" si="11"/>
        <v>0</v>
      </c>
      <c r="D182" s="13"/>
      <c r="E182" s="12">
        <v>0.0</v>
      </c>
      <c r="F182" s="12">
        <v>0.0</v>
      </c>
      <c r="G182" s="12">
        <v>0.0</v>
      </c>
      <c r="H182" s="12">
        <v>0.0</v>
      </c>
      <c r="I182" s="12">
        <v>0.0</v>
      </c>
      <c r="J182" s="12">
        <v>0.0</v>
      </c>
      <c r="K182" s="12">
        <v>0.0</v>
      </c>
      <c r="L182" s="12">
        <v>0.0</v>
      </c>
    </row>
    <row r="183">
      <c r="A183" s="10">
        <v>8.0</v>
      </c>
      <c r="B183" s="11" t="s">
        <v>25</v>
      </c>
      <c r="C183" s="12">
        <f t="shared" si="11"/>
        <v>0</v>
      </c>
      <c r="D183" s="13"/>
      <c r="E183" s="12">
        <v>0.0</v>
      </c>
      <c r="F183" s="12">
        <v>0.0</v>
      </c>
      <c r="G183" s="12">
        <v>0.0</v>
      </c>
      <c r="H183" s="12">
        <v>0.0</v>
      </c>
      <c r="I183" s="12">
        <v>0.0</v>
      </c>
      <c r="J183" s="12">
        <v>0.0</v>
      </c>
      <c r="K183" s="12">
        <v>0.0</v>
      </c>
      <c r="L183" s="12">
        <v>0.0</v>
      </c>
    </row>
    <row r="184">
      <c r="A184" s="10">
        <v>9.0</v>
      </c>
      <c r="B184" s="11" t="s">
        <v>26</v>
      </c>
      <c r="C184" s="12">
        <f t="shared" si="11"/>
        <v>0</v>
      </c>
      <c r="D184" s="13"/>
      <c r="E184" s="12">
        <v>0.0</v>
      </c>
      <c r="F184" s="12">
        <v>0.0</v>
      </c>
      <c r="G184" s="12">
        <v>0.0</v>
      </c>
      <c r="H184" s="12">
        <v>0.0</v>
      </c>
      <c r="I184" s="12">
        <v>0.0</v>
      </c>
      <c r="J184" s="12">
        <v>0.0</v>
      </c>
      <c r="K184" s="12">
        <v>0.0</v>
      </c>
      <c r="L184" s="12">
        <v>0.0</v>
      </c>
    </row>
    <row r="185">
      <c r="A185" s="10">
        <v>10.0</v>
      </c>
      <c r="B185" s="14" t="s">
        <v>27</v>
      </c>
      <c r="C185" s="12">
        <f t="shared" si="11"/>
        <v>0</v>
      </c>
      <c r="D185" s="13"/>
      <c r="E185" s="12">
        <v>0.0</v>
      </c>
      <c r="F185" s="12">
        <v>0.0</v>
      </c>
      <c r="G185" s="12">
        <v>0.0</v>
      </c>
      <c r="H185" s="12">
        <v>0.0</v>
      </c>
      <c r="I185" s="12">
        <v>0.0</v>
      </c>
      <c r="J185" s="12">
        <v>0.0</v>
      </c>
      <c r="K185" s="12">
        <v>0.0</v>
      </c>
      <c r="L185" s="12">
        <v>0.0</v>
      </c>
    </row>
    <row r="186">
      <c r="A186" s="10">
        <v>11.0</v>
      </c>
      <c r="B186" s="11" t="s">
        <v>28</v>
      </c>
      <c r="C186" s="12">
        <f t="shared" si="11"/>
        <v>0</v>
      </c>
      <c r="D186" s="13"/>
      <c r="E186" s="12">
        <v>0.0</v>
      </c>
      <c r="F186" s="12">
        <v>0.0</v>
      </c>
      <c r="G186" s="12">
        <v>0.0</v>
      </c>
      <c r="H186" s="12">
        <v>0.0</v>
      </c>
      <c r="I186" s="12">
        <v>0.0</v>
      </c>
      <c r="J186" s="12">
        <v>0.0</v>
      </c>
      <c r="K186" s="12">
        <v>0.0</v>
      </c>
      <c r="L186" s="12">
        <v>0.0</v>
      </c>
    </row>
    <row r="187">
      <c r="A187" s="27">
        <v>12.0</v>
      </c>
      <c r="B187" s="17" t="s">
        <v>29</v>
      </c>
      <c r="C187" s="7">
        <f t="shared" si="11"/>
        <v>24</v>
      </c>
      <c r="D187" s="13"/>
      <c r="E187" s="7">
        <v>0.0</v>
      </c>
      <c r="F187" s="7">
        <v>24.0</v>
      </c>
      <c r="G187" s="7">
        <v>0.0</v>
      </c>
      <c r="H187" s="7">
        <v>0.0</v>
      </c>
      <c r="I187" s="7">
        <v>0.0</v>
      </c>
      <c r="J187" s="7">
        <v>0.0</v>
      </c>
      <c r="K187" s="7">
        <v>0.0</v>
      </c>
      <c r="L187" s="7">
        <v>0.0</v>
      </c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>
      <c r="A188" s="10">
        <v>13.0</v>
      </c>
      <c r="B188" s="11" t="s">
        <v>30</v>
      </c>
      <c r="C188" s="12">
        <f t="shared" si="11"/>
        <v>0</v>
      </c>
      <c r="D188" s="13"/>
      <c r="E188" s="12">
        <v>0.0</v>
      </c>
      <c r="F188" s="12">
        <v>0.0</v>
      </c>
      <c r="G188" s="12">
        <v>0.0</v>
      </c>
      <c r="H188" s="12">
        <v>0.0</v>
      </c>
      <c r="I188" s="12">
        <v>0.0</v>
      </c>
      <c r="J188" s="12">
        <v>0.0</v>
      </c>
      <c r="K188" s="12">
        <v>0.0</v>
      </c>
      <c r="L188" s="12">
        <v>0.0</v>
      </c>
    </row>
    <row r="189">
      <c r="A189" s="10">
        <v>14.0</v>
      </c>
      <c r="B189" s="11" t="s">
        <v>31</v>
      </c>
      <c r="C189" s="12">
        <f t="shared" si="11"/>
        <v>0</v>
      </c>
      <c r="D189" s="13"/>
      <c r="E189" s="12">
        <v>0.0</v>
      </c>
      <c r="F189" s="12">
        <v>0.0</v>
      </c>
      <c r="G189" s="12">
        <v>0.0</v>
      </c>
      <c r="H189" s="12">
        <v>0.0</v>
      </c>
      <c r="I189" s="12">
        <v>0.0</v>
      </c>
      <c r="J189" s="12">
        <v>0.0</v>
      </c>
      <c r="K189" s="12">
        <v>0.0</v>
      </c>
      <c r="L189" s="12">
        <v>0.0</v>
      </c>
    </row>
    <row r="190">
      <c r="A190" s="10">
        <v>15.0</v>
      </c>
      <c r="B190" s="11" t="s">
        <v>32</v>
      </c>
      <c r="C190" s="12">
        <f t="shared" si="11"/>
        <v>0</v>
      </c>
      <c r="D190" s="13"/>
      <c r="E190" s="12">
        <v>0.0</v>
      </c>
      <c r="F190" s="12">
        <v>0.0</v>
      </c>
      <c r="G190" s="12">
        <v>0.0</v>
      </c>
      <c r="H190" s="12">
        <v>0.0</v>
      </c>
      <c r="I190" s="12">
        <v>0.0</v>
      </c>
      <c r="J190" s="12">
        <v>0.0</v>
      </c>
      <c r="K190" s="12">
        <v>0.0</v>
      </c>
      <c r="L190" s="12">
        <v>0.0</v>
      </c>
    </row>
    <row r="191">
      <c r="A191" s="10">
        <v>16.0</v>
      </c>
      <c r="B191" s="14" t="s">
        <v>33</v>
      </c>
      <c r="C191" s="12">
        <f t="shared" si="11"/>
        <v>0</v>
      </c>
      <c r="D191" s="13"/>
      <c r="E191" s="12">
        <v>0.0</v>
      </c>
      <c r="F191" s="12">
        <v>0.0</v>
      </c>
      <c r="G191" s="12">
        <v>0.0</v>
      </c>
      <c r="H191" s="12">
        <v>0.0</v>
      </c>
      <c r="I191" s="12">
        <v>0.0</v>
      </c>
      <c r="J191" s="12">
        <v>0.0</v>
      </c>
      <c r="K191" s="12">
        <v>0.0</v>
      </c>
      <c r="L191" s="12">
        <v>0.0</v>
      </c>
    </row>
    <row r="192">
      <c r="A192" s="27">
        <v>17.0</v>
      </c>
      <c r="B192" s="29" t="s">
        <v>34</v>
      </c>
      <c r="C192" s="7">
        <f t="shared" si="11"/>
        <v>10</v>
      </c>
      <c r="D192" s="13"/>
      <c r="E192" s="7">
        <v>0.0</v>
      </c>
      <c r="F192" s="7">
        <v>10.0</v>
      </c>
      <c r="G192" s="7">
        <v>0.0</v>
      </c>
      <c r="H192" s="7">
        <v>0.0</v>
      </c>
      <c r="I192" s="7">
        <v>0.0</v>
      </c>
      <c r="J192" s="7">
        <v>0.0</v>
      </c>
      <c r="K192" s="7">
        <v>0.0</v>
      </c>
      <c r="L192" s="7">
        <v>0.0</v>
      </c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>
      <c r="A193" s="10">
        <v>18.0</v>
      </c>
      <c r="B193" s="14" t="s">
        <v>35</v>
      </c>
      <c r="C193" s="12">
        <f t="shared" si="11"/>
        <v>0</v>
      </c>
      <c r="D193" s="13"/>
      <c r="E193" s="12">
        <v>0.0</v>
      </c>
      <c r="F193" s="12">
        <v>0.0</v>
      </c>
      <c r="G193" s="12">
        <v>0.0</v>
      </c>
      <c r="H193" s="12">
        <v>0.0</v>
      </c>
      <c r="I193" s="12">
        <v>0.0</v>
      </c>
      <c r="J193" s="12">
        <v>0.0</v>
      </c>
      <c r="K193" s="12">
        <v>0.0</v>
      </c>
      <c r="L193" s="12">
        <v>0.0</v>
      </c>
    </row>
    <row r="194">
      <c r="A194" s="16">
        <v>19.0</v>
      </c>
      <c r="B194" s="11" t="s">
        <v>36</v>
      </c>
      <c r="C194" s="12">
        <f t="shared" si="11"/>
        <v>0</v>
      </c>
      <c r="D194" s="13"/>
      <c r="E194" s="12">
        <v>0.0</v>
      </c>
      <c r="F194" s="12">
        <v>0.0</v>
      </c>
      <c r="G194" s="12">
        <v>0.0</v>
      </c>
      <c r="H194" s="12">
        <v>0.0</v>
      </c>
      <c r="I194" s="12">
        <v>0.0</v>
      </c>
      <c r="J194" s="12">
        <v>0.0</v>
      </c>
      <c r="K194" s="12">
        <v>0.0</v>
      </c>
      <c r="L194" s="12">
        <v>0.0</v>
      </c>
    </row>
    <row r="195">
      <c r="A195" s="16">
        <v>20.0</v>
      </c>
      <c r="B195" s="14" t="s">
        <v>37</v>
      </c>
      <c r="C195" s="12">
        <f t="shared" si="11"/>
        <v>0</v>
      </c>
      <c r="D195" s="13"/>
      <c r="E195" s="12">
        <v>0.0</v>
      </c>
      <c r="F195" s="12">
        <v>0.0</v>
      </c>
      <c r="G195" s="12">
        <v>0.0</v>
      </c>
      <c r="H195" s="12">
        <v>0.0</v>
      </c>
      <c r="I195" s="12">
        <v>0.0</v>
      </c>
      <c r="J195" s="12">
        <v>0.0</v>
      </c>
      <c r="K195" s="12">
        <v>0.0</v>
      </c>
      <c r="L195" s="12">
        <v>0.0</v>
      </c>
    </row>
    <row r="196">
      <c r="A196" s="10">
        <v>21.0</v>
      </c>
      <c r="B196" s="11" t="s">
        <v>38</v>
      </c>
      <c r="C196" s="12">
        <f t="shared" si="11"/>
        <v>0</v>
      </c>
      <c r="D196" s="13"/>
      <c r="E196" s="12">
        <v>0.0</v>
      </c>
      <c r="F196" s="12">
        <v>0.0</v>
      </c>
      <c r="G196" s="12">
        <v>0.0</v>
      </c>
      <c r="H196" s="12">
        <v>0.0</v>
      </c>
      <c r="I196" s="12">
        <v>0.0</v>
      </c>
      <c r="J196" s="12">
        <v>0.0</v>
      </c>
      <c r="K196" s="12">
        <v>0.0</v>
      </c>
      <c r="L196" s="12">
        <v>0.0</v>
      </c>
    </row>
    <row r="197">
      <c r="A197" s="10">
        <v>22.0</v>
      </c>
      <c r="B197" s="11" t="s">
        <v>39</v>
      </c>
      <c r="C197" s="12">
        <f t="shared" si="11"/>
        <v>0</v>
      </c>
      <c r="D197" s="13"/>
      <c r="E197" s="12">
        <v>0.0</v>
      </c>
      <c r="F197" s="12">
        <v>0.0</v>
      </c>
      <c r="G197" s="12">
        <v>0.0</v>
      </c>
      <c r="H197" s="12">
        <v>0.0</v>
      </c>
      <c r="I197" s="12">
        <v>0.0</v>
      </c>
      <c r="J197" s="12">
        <v>0.0</v>
      </c>
      <c r="K197" s="12">
        <v>0.0</v>
      </c>
      <c r="L197" s="12">
        <v>0.0</v>
      </c>
    </row>
    <row r="198">
      <c r="A198" s="10">
        <v>23.0</v>
      </c>
      <c r="B198" s="29" t="s">
        <v>40</v>
      </c>
      <c r="C198" s="7">
        <f t="shared" si="11"/>
        <v>10</v>
      </c>
      <c r="D198" s="13"/>
      <c r="E198" s="12">
        <v>0.0</v>
      </c>
      <c r="F198" s="12">
        <v>0.0</v>
      </c>
      <c r="G198" s="12">
        <v>0.0</v>
      </c>
      <c r="H198" s="7">
        <v>10.0</v>
      </c>
      <c r="I198" s="12">
        <v>0.0</v>
      </c>
      <c r="J198" s="12">
        <v>0.0</v>
      </c>
      <c r="K198" s="12">
        <v>0.0</v>
      </c>
      <c r="L198" s="12">
        <v>0.0</v>
      </c>
    </row>
    <row r="199">
      <c r="A199" s="10">
        <v>24.0</v>
      </c>
      <c r="B199" s="14" t="s">
        <v>42</v>
      </c>
      <c r="C199" s="12">
        <f t="shared" si="11"/>
        <v>0</v>
      </c>
      <c r="D199" s="13"/>
      <c r="E199" s="12">
        <v>0.0</v>
      </c>
      <c r="F199" s="12">
        <v>0.0</v>
      </c>
      <c r="G199" s="12">
        <v>0.0</v>
      </c>
      <c r="H199" s="12">
        <v>0.0</v>
      </c>
      <c r="I199" s="12">
        <v>0.0</v>
      </c>
      <c r="J199" s="12">
        <v>0.0</v>
      </c>
      <c r="K199" s="12">
        <v>0.0</v>
      </c>
      <c r="L199" s="12">
        <v>0.0</v>
      </c>
    </row>
    <row r="200">
      <c r="A200" s="10">
        <v>25.0</v>
      </c>
      <c r="B200" s="14" t="s">
        <v>43</v>
      </c>
      <c r="C200" s="12">
        <f t="shared" si="11"/>
        <v>0</v>
      </c>
      <c r="D200" s="13"/>
      <c r="E200" s="12">
        <v>0.0</v>
      </c>
      <c r="F200" s="12">
        <v>0.0</v>
      </c>
      <c r="G200" s="12">
        <v>0.0</v>
      </c>
      <c r="H200" s="12">
        <v>0.0</v>
      </c>
      <c r="I200" s="12">
        <v>0.0</v>
      </c>
      <c r="J200" s="12">
        <v>0.0</v>
      </c>
      <c r="K200" s="12">
        <v>0.0</v>
      </c>
      <c r="L200" s="12">
        <v>0.0</v>
      </c>
    </row>
    <row r="201">
      <c r="A201" s="10">
        <v>26.0</v>
      </c>
      <c r="B201" s="11" t="s">
        <v>44</v>
      </c>
      <c r="C201" s="12">
        <f t="shared" si="11"/>
        <v>0</v>
      </c>
      <c r="D201" s="13"/>
      <c r="E201" s="12">
        <v>0.0</v>
      </c>
      <c r="F201" s="12">
        <v>0.0</v>
      </c>
      <c r="G201" s="12">
        <v>0.0</v>
      </c>
      <c r="H201" s="12">
        <v>0.0</v>
      </c>
      <c r="I201" s="12">
        <v>0.0</v>
      </c>
      <c r="J201" s="12">
        <v>0.0</v>
      </c>
      <c r="K201" s="12">
        <v>0.0</v>
      </c>
      <c r="L201" s="12">
        <v>0.0</v>
      </c>
    </row>
    <row r="202">
      <c r="A202" s="10">
        <v>27.0</v>
      </c>
      <c r="B202" s="11" t="s">
        <v>45</v>
      </c>
      <c r="C202" s="12">
        <f t="shared" si="11"/>
        <v>0</v>
      </c>
      <c r="D202" s="13"/>
      <c r="E202" s="12">
        <v>0.0</v>
      </c>
      <c r="F202" s="12">
        <v>0.0</v>
      </c>
      <c r="G202" s="12">
        <v>0.0</v>
      </c>
      <c r="H202" s="12">
        <v>0.0</v>
      </c>
      <c r="I202" s="12">
        <v>0.0</v>
      </c>
      <c r="J202" s="12">
        <v>0.0</v>
      </c>
      <c r="K202" s="12">
        <v>0.0</v>
      </c>
      <c r="L202" s="12">
        <v>0.0</v>
      </c>
    </row>
    <row r="203">
      <c r="A203" s="10">
        <v>28.0</v>
      </c>
      <c r="B203" s="17" t="s">
        <v>46</v>
      </c>
      <c r="C203" s="12">
        <f t="shared" si="11"/>
        <v>0</v>
      </c>
      <c r="D203" s="13"/>
      <c r="E203" s="12">
        <v>0.0</v>
      </c>
      <c r="F203" s="12">
        <v>0.0</v>
      </c>
      <c r="G203" s="12">
        <v>0.0</v>
      </c>
      <c r="H203" s="12">
        <v>0.0</v>
      </c>
      <c r="I203" s="12">
        <v>0.0</v>
      </c>
      <c r="J203" s="12">
        <v>0.0</v>
      </c>
      <c r="K203" s="12">
        <v>0.0</v>
      </c>
      <c r="L203" s="12">
        <v>0.0</v>
      </c>
    </row>
    <row r="204">
      <c r="A204" s="10">
        <v>29.0</v>
      </c>
      <c r="B204" s="11" t="s">
        <v>15</v>
      </c>
      <c r="C204" s="12">
        <f t="shared" si="11"/>
        <v>0</v>
      </c>
      <c r="D204" s="13"/>
      <c r="E204" s="12">
        <v>0.0</v>
      </c>
      <c r="F204" s="12">
        <v>0.0</v>
      </c>
      <c r="G204" s="12">
        <v>0.0</v>
      </c>
      <c r="H204" s="12">
        <v>0.0</v>
      </c>
      <c r="I204" s="12">
        <v>0.0</v>
      </c>
      <c r="J204" s="12">
        <v>0.0</v>
      </c>
      <c r="K204" s="12">
        <v>0.0</v>
      </c>
      <c r="L204" s="12">
        <v>0.0</v>
      </c>
    </row>
    <row r="205">
      <c r="A205" s="10">
        <v>30.0</v>
      </c>
      <c r="B205" s="11" t="s">
        <v>47</v>
      </c>
      <c r="C205" s="12">
        <f t="shared" si="11"/>
        <v>0</v>
      </c>
      <c r="D205" s="18"/>
      <c r="E205" s="12">
        <v>0.0</v>
      </c>
      <c r="F205" s="12">
        <v>0.0</v>
      </c>
      <c r="G205" s="12">
        <v>0.0</v>
      </c>
      <c r="H205" s="12">
        <v>0.0</v>
      </c>
      <c r="I205" s="12">
        <v>0.0</v>
      </c>
      <c r="J205" s="12">
        <v>0.0</v>
      </c>
      <c r="K205" s="12">
        <v>0.0</v>
      </c>
      <c r="L205" s="12">
        <v>0.0</v>
      </c>
    </row>
    <row r="206">
      <c r="A206" s="30" t="s">
        <v>72</v>
      </c>
      <c r="B206" s="3"/>
      <c r="C206" s="20">
        <f>SUM(C176:C205)</f>
        <v>67</v>
      </c>
      <c r="D206" s="21"/>
      <c r="E206" s="20">
        <f t="shared" ref="E206:L206" si="12">SUM(E176:E205)</f>
        <v>15</v>
      </c>
      <c r="F206" s="20">
        <f t="shared" si="12"/>
        <v>34</v>
      </c>
      <c r="G206" s="20">
        <f t="shared" si="12"/>
        <v>0</v>
      </c>
      <c r="H206" s="44">
        <f t="shared" si="12"/>
        <v>10</v>
      </c>
      <c r="I206" s="20">
        <f t="shared" si="12"/>
        <v>8</v>
      </c>
      <c r="J206" s="20">
        <f t="shared" si="12"/>
        <v>0</v>
      </c>
      <c r="K206" s="20">
        <f t="shared" si="12"/>
        <v>0</v>
      </c>
      <c r="L206" s="20">
        <f t="shared" si="12"/>
        <v>0</v>
      </c>
    </row>
    <row r="207">
      <c r="A207" s="45" t="s">
        <v>73</v>
      </c>
      <c r="B207" s="2"/>
      <c r="C207" s="3"/>
      <c r="D207" s="21"/>
      <c r="E207" s="20">
        <f>C172+C206</f>
        <v>192</v>
      </c>
      <c r="F207" s="46"/>
      <c r="G207" s="2"/>
      <c r="H207" s="2"/>
      <c r="I207" s="2"/>
      <c r="J207" s="2"/>
      <c r="K207" s="2"/>
      <c r="L207" s="3"/>
    </row>
    <row r="208">
      <c r="A208" s="2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/>
    </row>
    <row r="209">
      <c r="A209" s="35" t="s">
        <v>74</v>
      </c>
      <c r="B209" s="2"/>
      <c r="C209" s="3"/>
      <c r="D209" s="47"/>
      <c r="E209" s="6" t="s">
        <v>75</v>
      </c>
      <c r="F209" s="2"/>
      <c r="G209" s="2"/>
      <c r="H209" s="2"/>
      <c r="I209" s="2"/>
      <c r="J209" s="2"/>
      <c r="K209" s="2"/>
      <c r="L209" s="3"/>
    </row>
    <row r="210">
      <c r="A210" s="22" t="s">
        <v>5</v>
      </c>
      <c r="B210" s="22" t="s">
        <v>76</v>
      </c>
      <c r="C210" s="22" t="s">
        <v>7</v>
      </c>
      <c r="D210" s="48"/>
      <c r="E210" s="9" t="s">
        <v>8</v>
      </c>
      <c r="F210" s="9" t="s">
        <v>9</v>
      </c>
      <c r="G210" s="9" t="s">
        <v>10</v>
      </c>
      <c r="H210" s="9" t="s">
        <v>11</v>
      </c>
      <c r="I210" s="9" t="s">
        <v>12</v>
      </c>
      <c r="J210" s="9" t="s">
        <v>13</v>
      </c>
      <c r="K210" s="9" t="s">
        <v>14</v>
      </c>
      <c r="L210" s="9" t="s">
        <v>15</v>
      </c>
    </row>
    <row r="211">
      <c r="A211" s="49">
        <v>1.0</v>
      </c>
      <c r="B211" s="49" t="s">
        <v>29</v>
      </c>
      <c r="C211" s="50">
        <f t="shared" ref="C211:C213" si="13">E211+F211+G211+H211+I211+J211+K211+L211</f>
        <v>1</v>
      </c>
      <c r="D211" s="13"/>
      <c r="E211" s="49">
        <v>0.0</v>
      </c>
      <c r="F211" s="49">
        <v>1.0</v>
      </c>
      <c r="G211" s="49">
        <v>0.0</v>
      </c>
      <c r="H211" s="49">
        <v>0.0</v>
      </c>
      <c r="I211" s="49">
        <v>0.0</v>
      </c>
      <c r="J211" s="49">
        <v>0.0</v>
      </c>
      <c r="K211" s="49">
        <v>0.0</v>
      </c>
      <c r="L211" s="49">
        <v>0.0</v>
      </c>
    </row>
    <row r="212">
      <c r="A212" s="49">
        <v>2.0</v>
      </c>
      <c r="B212" s="49" t="s">
        <v>34</v>
      </c>
      <c r="C212" s="50">
        <f t="shared" si="13"/>
        <v>3</v>
      </c>
      <c r="D212" s="13"/>
      <c r="E212" s="49">
        <v>0.0</v>
      </c>
      <c r="F212" s="49">
        <v>3.0</v>
      </c>
      <c r="G212" s="49">
        <v>0.0</v>
      </c>
      <c r="H212" s="49">
        <v>0.0</v>
      </c>
      <c r="I212" s="49">
        <v>0.0</v>
      </c>
      <c r="J212" s="49">
        <v>0.0</v>
      </c>
      <c r="K212" s="49">
        <v>0.0</v>
      </c>
      <c r="L212" s="49">
        <v>0.0</v>
      </c>
    </row>
    <row r="213">
      <c r="A213" s="49">
        <v>3.0</v>
      </c>
      <c r="B213" s="49" t="s">
        <v>14</v>
      </c>
      <c r="C213" s="50">
        <f t="shared" si="13"/>
        <v>0</v>
      </c>
      <c r="D213" s="13"/>
      <c r="E213" s="49">
        <v>0.0</v>
      </c>
      <c r="F213" s="49">
        <v>0.0</v>
      </c>
      <c r="G213" s="49">
        <v>0.0</v>
      </c>
      <c r="H213" s="49">
        <v>0.0</v>
      </c>
      <c r="I213" s="49">
        <v>0.0</v>
      </c>
      <c r="J213" s="49">
        <v>0.0</v>
      </c>
      <c r="K213" s="49">
        <v>0.0</v>
      </c>
      <c r="L213" s="49">
        <v>0.0</v>
      </c>
    </row>
    <row r="214">
      <c r="A214" s="35" t="s">
        <v>77</v>
      </c>
      <c r="B214" s="3"/>
      <c r="C214" s="20">
        <f>SUM(C211:C213)</f>
        <v>4</v>
      </c>
      <c r="D214" s="21"/>
      <c r="E214" s="20">
        <f t="shared" ref="E214:L214" si="14">SUM(E211:E213)</f>
        <v>0</v>
      </c>
      <c r="F214" s="20">
        <f t="shared" si="14"/>
        <v>4</v>
      </c>
      <c r="G214" s="20">
        <f t="shared" si="14"/>
        <v>0</v>
      </c>
      <c r="H214" s="20">
        <f t="shared" si="14"/>
        <v>0</v>
      </c>
      <c r="I214" s="20">
        <f t="shared" si="14"/>
        <v>0</v>
      </c>
      <c r="J214" s="20">
        <f t="shared" si="14"/>
        <v>0</v>
      </c>
      <c r="K214" s="20">
        <f t="shared" si="14"/>
        <v>0</v>
      </c>
      <c r="L214" s="20">
        <f t="shared" si="14"/>
        <v>0</v>
      </c>
    </row>
    <row r="215">
      <c r="A215" s="2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3"/>
    </row>
    <row r="216">
      <c r="A216" s="39" t="s">
        <v>78</v>
      </c>
      <c r="B216" s="2"/>
      <c r="C216" s="3"/>
      <c r="D216" s="51"/>
      <c r="E216" s="26" t="s">
        <v>79</v>
      </c>
      <c r="F216" s="2"/>
      <c r="G216" s="2"/>
      <c r="H216" s="2"/>
      <c r="I216" s="2"/>
      <c r="J216" s="2"/>
      <c r="K216" s="2"/>
      <c r="L216" s="3"/>
    </row>
    <row r="217">
      <c r="A217" s="22" t="s">
        <v>5</v>
      </c>
      <c r="B217" s="22" t="s">
        <v>76</v>
      </c>
      <c r="C217" s="22" t="s">
        <v>7</v>
      </c>
      <c r="D217" s="48"/>
      <c r="E217" s="9" t="s">
        <v>8</v>
      </c>
      <c r="F217" s="9" t="s">
        <v>9</v>
      </c>
      <c r="G217" s="9" t="s">
        <v>10</v>
      </c>
      <c r="H217" s="9" t="s">
        <v>11</v>
      </c>
      <c r="I217" s="9" t="s">
        <v>12</v>
      </c>
      <c r="J217" s="9" t="s">
        <v>13</v>
      </c>
      <c r="K217" s="9" t="s">
        <v>14</v>
      </c>
      <c r="L217" s="9" t="s">
        <v>15</v>
      </c>
    </row>
    <row r="218">
      <c r="A218" s="49">
        <v>1.0</v>
      </c>
      <c r="B218" s="49" t="s">
        <v>29</v>
      </c>
      <c r="C218" s="50">
        <f t="shared" ref="C218:C220" si="15">E218+F218+G218+H218+I218+J218+K218+L218</f>
        <v>1</v>
      </c>
      <c r="D218" s="13"/>
      <c r="E218" s="49">
        <v>0.0</v>
      </c>
      <c r="F218" s="49">
        <v>1.0</v>
      </c>
      <c r="G218" s="49">
        <v>0.0</v>
      </c>
      <c r="H218" s="49">
        <v>0.0</v>
      </c>
      <c r="I218" s="49">
        <v>0.0</v>
      </c>
      <c r="J218" s="49">
        <v>0.0</v>
      </c>
      <c r="K218" s="49">
        <v>0.0</v>
      </c>
      <c r="L218" s="49">
        <v>0.0</v>
      </c>
    </row>
    <row r="219">
      <c r="A219" s="49">
        <v>2.0</v>
      </c>
      <c r="B219" s="49" t="s">
        <v>34</v>
      </c>
      <c r="C219" s="50">
        <f t="shared" si="15"/>
        <v>3</v>
      </c>
      <c r="D219" s="13"/>
      <c r="E219" s="49">
        <v>0.0</v>
      </c>
      <c r="F219" s="49">
        <v>3.0</v>
      </c>
      <c r="G219" s="49">
        <v>0.0</v>
      </c>
      <c r="H219" s="49">
        <v>0.0</v>
      </c>
      <c r="I219" s="49">
        <v>0.0</v>
      </c>
      <c r="J219" s="49">
        <v>0.0</v>
      </c>
      <c r="K219" s="49">
        <v>0.0</v>
      </c>
      <c r="L219" s="49">
        <v>0.0</v>
      </c>
    </row>
    <row r="220">
      <c r="A220" s="49">
        <v>3.0</v>
      </c>
      <c r="B220" s="49" t="s">
        <v>14</v>
      </c>
      <c r="C220" s="50">
        <f t="shared" si="15"/>
        <v>0</v>
      </c>
      <c r="D220" s="13"/>
      <c r="E220" s="49">
        <v>0.0</v>
      </c>
      <c r="F220" s="49">
        <v>0.0</v>
      </c>
      <c r="G220" s="49">
        <v>0.0</v>
      </c>
      <c r="H220" s="49">
        <v>0.0</v>
      </c>
      <c r="I220" s="49">
        <v>0.0</v>
      </c>
      <c r="J220" s="49">
        <v>0.0</v>
      </c>
      <c r="K220" s="49">
        <v>0.0</v>
      </c>
      <c r="L220" s="49">
        <v>0.0</v>
      </c>
    </row>
    <row r="221">
      <c r="A221" s="30" t="s">
        <v>80</v>
      </c>
      <c r="B221" s="3"/>
      <c r="C221" s="20">
        <f>SUM(C218:C220)</f>
        <v>4</v>
      </c>
      <c r="D221" s="21"/>
      <c r="E221" s="20">
        <f>SUM(E218:E220)</f>
        <v>0</v>
      </c>
      <c r="F221" s="22">
        <v>0.0</v>
      </c>
      <c r="G221" s="20">
        <f t="shared" ref="G221:L221" si="16">SUM(G218:G220)</f>
        <v>0</v>
      </c>
      <c r="H221" s="20">
        <f t="shared" si="16"/>
        <v>0</v>
      </c>
      <c r="I221" s="20">
        <f t="shared" si="16"/>
        <v>0</v>
      </c>
      <c r="J221" s="20">
        <f t="shared" si="16"/>
        <v>0</v>
      </c>
      <c r="K221" s="20">
        <f t="shared" si="16"/>
        <v>0</v>
      </c>
      <c r="L221" s="20">
        <f t="shared" si="16"/>
        <v>0</v>
      </c>
    </row>
    <row r="222">
      <c r="A222" s="45" t="s">
        <v>81</v>
      </c>
      <c r="B222" s="2"/>
      <c r="C222" s="3"/>
      <c r="D222" s="21"/>
      <c r="E222" s="20">
        <f>C214+C221</f>
        <v>8</v>
      </c>
      <c r="F222" s="46"/>
      <c r="G222" s="2"/>
      <c r="H222" s="2"/>
      <c r="I222" s="2"/>
      <c r="J222" s="2"/>
      <c r="K222" s="2"/>
      <c r="L222" s="3"/>
    </row>
    <row r="223">
      <c r="A223" s="2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3"/>
    </row>
    <row r="224">
      <c r="A224" s="35" t="s">
        <v>82</v>
      </c>
      <c r="B224" s="2"/>
      <c r="C224" s="3"/>
      <c r="D224" s="47"/>
      <c r="E224" s="6" t="s">
        <v>83</v>
      </c>
      <c r="F224" s="2"/>
      <c r="G224" s="2"/>
      <c r="H224" s="2"/>
      <c r="I224" s="2"/>
      <c r="J224" s="2"/>
      <c r="K224" s="2"/>
      <c r="L224" s="3"/>
    </row>
    <row r="225" ht="18.0" customHeight="1">
      <c r="A225" s="22" t="s">
        <v>5</v>
      </c>
      <c r="B225" s="22" t="s">
        <v>84</v>
      </c>
      <c r="C225" s="22" t="s">
        <v>7</v>
      </c>
      <c r="D225" s="48"/>
      <c r="E225" s="9" t="s">
        <v>8</v>
      </c>
      <c r="F225" s="9" t="s">
        <v>9</v>
      </c>
      <c r="G225" s="9" t="s">
        <v>10</v>
      </c>
      <c r="H225" s="9" t="s">
        <v>11</v>
      </c>
      <c r="I225" s="9" t="s">
        <v>12</v>
      </c>
      <c r="J225" s="9" t="s">
        <v>13</v>
      </c>
      <c r="K225" s="9" t="s">
        <v>14</v>
      </c>
      <c r="L225" s="9" t="s">
        <v>15</v>
      </c>
    </row>
    <row r="226">
      <c r="A226" s="49">
        <v>1.0</v>
      </c>
      <c r="B226" s="49" t="s">
        <v>14</v>
      </c>
      <c r="C226" s="50">
        <f t="shared" ref="C226:C228" si="17">E226+F226+G226+H226+I226+J226+K226+L226</f>
        <v>0</v>
      </c>
      <c r="D226" s="13"/>
      <c r="E226" s="49">
        <v>0.0</v>
      </c>
      <c r="F226" s="49">
        <v>0.0</v>
      </c>
      <c r="G226" s="49">
        <v>0.0</v>
      </c>
      <c r="H226" s="49">
        <v>0.0</v>
      </c>
      <c r="I226" s="49">
        <v>0.0</v>
      </c>
      <c r="J226" s="49">
        <v>0.0</v>
      </c>
      <c r="K226" s="49">
        <v>0.0</v>
      </c>
      <c r="L226" s="49">
        <v>0.0</v>
      </c>
    </row>
    <row r="227">
      <c r="A227" s="49">
        <v>2.0</v>
      </c>
      <c r="B227" s="49" t="s">
        <v>15</v>
      </c>
      <c r="C227" s="50">
        <f t="shared" si="17"/>
        <v>0</v>
      </c>
      <c r="D227" s="13"/>
      <c r="E227" s="49">
        <v>0.0</v>
      </c>
      <c r="F227" s="49">
        <v>0.0</v>
      </c>
      <c r="G227" s="49">
        <v>0.0</v>
      </c>
      <c r="H227" s="49">
        <v>0.0</v>
      </c>
      <c r="I227" s="49">
        <v>0.0</v>
      </c>
      <c r="J227" s="49">
        <v>0.0</v>
      </c>
      <c r="K227" s="49">
        <v>0.0</v>
      </c>
      <c r="L227" s="49">
        <v>0.0</v>
      </c>
    </row>
    <row r="228">
      <c r="A228" s="49">
        <v>3.0</v>
      </c>
      <c r="B228" s="49" t="s">
        <v>47</v>
      </c>
      <c r="C228" s="50">
        <f t="shared" si="17"/>
        <v>0</v>
      </c>
      <c r="D228" s="13"/>
      <c r="E228" s="49">
        <v>0.0</v>
      </c>
      <c r="F228" s="49">
        <v>0.0</v>
      </c>
      <c r="G228" s="49">
        <v>0.0</v>
      </c>
      <c r="H228" s="49">
        <v>0.0</v>
      </c>
      <c r="I228" s="49">
        <v>0.0</v>
      </c>
      <c r="J228" s="49">
        <v>0.0</v>
      </c>
      <c r="K228" s="49">
        <v>0.0</v>
      </c>
      <c r="L228" s="49">
        <v>0.0</v>
      </c>
    </row>
    <row r="229">
      <c r="A229" s="19" t="s">
        <v>85</v>
      </c>
      <c r="B229" s="3"/>
      <c r="C229" s="20">
        <f>SUM(C226:C228)</f>
        <v>0</v>
      </c>
      <c r="D229" s="21"/>
      <c r="E229" s="20">
        <f t="shared" ref="E229:L229" si="18">SUM(E226:E228)</f>
        <v>0</v>
      </c>
      <c r="F229" s="20">
        <f t="shared" si="18"/>
        <v>0</v>
      </c>
      <c r="G229" s="20">
        <f t="shared" si="18"/>
        <v>0</v>
      </c>
      <c r="H229" s="20">
        <f t="shared" si="18"/>
        <v>0</v>
      </c>
      <c r="I229" s="20">
        <f t="shared" si="18"/>
        <v>0</v>
      </c>
      <c r="J229" s="20">
        <f t="shared" si="18"/>
        <v>0</v>
      </c>
      <c r="K229" s="20">
        <f t="shared" si="18"/>
        <v>0</v>
      </c>
      <c r="L229" s="20">
        <f t="shared" si="18"/>
        <v>0</v>
      </c>
    </row>
    <row r="230">
      <c r="A230" s="2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3"/>
    </row>
    <row r="231">
      <c r="A231" s="39" t="s">
        <v>86</v>
      </c>
      <c r="B231" s="2"/>
      <c r="C231" s="3"/>
      <c r="D231" s="51"/>
      <c r="E231" s="26" t="s">
        <v>87</v>
      </c>
      <c r="F231" s="2"/>
      <c r="G231" s="2"/>
      <c r="H231" s="2"/>
      <c r="I231" s="2"/>
      <c r="J231" s="2"/>
      <c r="K231" s="2"/>
      <c r="L231" s="3"/>
    </row>
    <row r="232">
      <c r="A232" s="22" t="s">
        <v>5</v>
      </c>
      <c r="B232" s="22" t="s">
        <v>84</v>
      </c>
      <c r="C232" s="22" t="s">
        <v>7</v>
      </c>
      <c r="D232" s="48"/>
      <c r="E232" s="9" t="s">
        <v>8</v>
      </c>
      <c r="F232" s="9" t="s">
        <v>9</v>
      </c>
      <c r="G232" s="9" t="s">
        <v>10</v>
      </c>
      <c r="H232" s="9" t="s">
        <v>11</v>
      </c>
      <c r="I232" s="9" t="s">
        <v>12</v>
      </c>
      <c r="J232" s="9" t="s">
        <v>13</v>
      </c>
      <c r="K232" s="9" t="s">
        <v>14</v>
      </c>
      <c r="L232" s="9" t="s">
        <v>15</v>
      </c>
    </row>
    <row r="233">
      <c r="A233" s="49">
        <v>1.0</v>
      </c>
      <c r="B233" s="49" t="s">
        <v>29</v>
      </c>
      <c r="C233" s="50">
        <f t="shared" ref="C233:C235" si="19">E233+F233+G233+H233+I233+J233+K233+L233</f>
        <v>0</v>
      </c>
      <c r="D233" s="13"/>
      <c r="E233" s="49">
        <v>0.0</v>
      </c>
      <c r="F233" s="49">
        <v>0.0</v>
      </c>
      <c r="G233" s="49">
        <v>0.0</v>
      </c>
      <c r="H233" s="49">
        <v>0.0</v>
      </c>
      <c r="I233" s="49">
        <v>0.0</v>
      </c>
      <c r="J233" s="49">
        <v>0.0</v>
      </c>
      <c r="K233" s="49">
        <v>0.0</v>
      </c>
      <c r="L233" s="49">
        <v>0.0</v>
      </c>
    </row>
    <row r="234">
      <c r="A234" s="49">
        <v>2.0</v>
      </c>
      <c r="B234" s="49" t="s">
        <v>34</v>
      </c>
      <c r="C234" s="50">
        <f t="shared" si="19"/>
        <v>0</v>
      </c>
      <c r="D234" s="13"/>
      <c r="E234" s="49">
        <v>0.0</v>
      </c>
      <c r="F234" s="49">
        <v>0.0</v>
      </c>
      <c r="G234" s="49">
        <v>0.0</v>
      </c>
      <c r="H234" s="49">
        <v>0.0</v>
      </c>
      <c r="I234" s="49">
        <v>0.0</v>
      </c>
      <c r="J234" s="49">
        <v>0.0</v>
      </c>
      <c r="K234" s="49">
        <v>0.0</v>
      </c>
      <c r="L234" s="49">
        <v>0.0</v>
      </c>
    </row>
    <row r="235">
      <c r="A235" s="49">
        <v>3.0</v>
      </c>
      <c r="B235" s="49" t="s">
        <v>14</v>
      </c>
      <c r="C235" s="50">
        <f t="shared" si="19"/>
        <v>0</v>
      </c>
      <c r="D235" s="13"/>
      <c r="E235" s="49">
        <v>0.0</v>
      </c>
      <c r="F235" s="49">
        <v>0.0</v>
      </c>
      <c r="G235" s="49">
        <v>0.0</v>
      </c>
      <c r="H235" s="49">
        <v>0.0</v>
      </c>
      <c r="I235" s="49">
        <v>0.0</v>
      </c>
      <c r="J235" s="49">
        <v>0.0</v>
      </c>
      <c r="K235" s="49">
        <v>0.0</v>
      </c>
      <c r="L235" s="49">
        <v>0.0</v>
      </c>
    </row>
    <row r="236">
      <c r="A236" s="30" t="s">
        <v>88</v>
      </c>
      <c r="B236" s="3"/>
      <c r="C236" s="20">
        <f>SUM(C233:C235)</f>
        <v>0</v>
      </c>
      <c r="D236" s="21"/>
      <c r="E236" s="20">
        <f t="shared" ref="E236:L236" si="20">SUM(E233:E235)</f>
        <v>0</v>
      </c>
      <c r="F236" s="20">
        <f t="shared" si="20"/>
        <v>0</v>
      </c>
      <c r="G236" s="20">
        <f t="shared" si="20"/>
        <v>0</v>
      </c>
      <c r="H236" s="20">
        <f t="shared" si="20"/>
        <v>0</v>
      </c>
      <c r="I236" s="20">
        <f t="shared" si="20"/>
        <v>0</v>
      </c>
      <c r="J236" s="20">
        <f t="shared" si="20"/>
        <v>0</v>
      </c>
      <c r="K236" s="20">
        <f t="shared" si="20"/>
        <v>0</v>
      </c>
      <c r="L236" s="20">
        <f t="shared" si="20"/>
        <v>0</v>
      </c>
    </row>
    <row r="237">
      <c r="A237" s="45" t="s">
        <v>89</v>
      </c>
      <c r="B237" s="2"/>
      <c r="C237" s="3"/>
      <c r="D237" s="21"/>
      <c r="E237" s="20">
        <f>C229+C236</f>
        <v>0</v>
      </c>
      <c r="F237" s="46"/>
      <c r="G237" s="2"/>
      <c r="H237" s="2"/>
      <c r="I237" s="2"/>
      <c r="J237" s="2"/>
      <c r="K237" s="2"/>
      <c r="L237" s="3"/>
    </row>
    <row r="239">
      <c r="A239" s="35" t="s">
        <v>90</v>
      </c>
      <c r="B239" s="2"/>
      <c r="C239" s="3"/>
      <c r="D239" s="47"/>
      <c r="E239" s="6" t="s">
        <v>91</v>
      </c>
      <c r="F239" s="2"/>
      <c r="G239" s="2"/>
      <c r="H239" s="2"/>
      <c r="I239" s="2"/>
      <c r="J239" s="2"/>
      <c r="K239" s="2"/>
      <c r="L239" s="3"/>
    </row>
    <row r="240" ht="21.0" customHeight="1">
      <c r="A240" s="22" t="s">
        <v>5</v>
      </c>
      <c r="B240" s="22" t="s">
        <v>92</v>
      </c>
      <c r="C240" s="22" t="s">
        <v>7</v>
      </c>
      <c r="D240" s="48"/>
      <c r="E240" s="9" t="s">
        <v>8</v>
      </c>
      <c r="F240" s="9" t="s">
        <v>9</v>
      </c>
      <c r="G240" s="9" t="s">
        <v>10</v>
      </c>
      <c r="H240" s="9" t="s">
        <v>11</v>
      </c>
      <c r="I240" s="9" t="s">
        <v>12</v>
      </c>
      <c r="J240" s="9" t="s">
        <v>13</v>
      </c>
      <c r="K240" s="9" t="s">
        <v>14</v>
      </c>
      <c r="L240" s="9" t="s">
        <v>15</v>
      </c>
    </row>
    <row r="241">
      <c r="A241" s="22">
        <v>1.0</v>
      </c>
      <c r="B241" s="22" t="s">
        <v>20</v>
      </c>
      <c r="C241" s="20">
        <f t="shared" ref="C241:C243" si="21">E241+F241+G241+H241+I241+J241+K241+L241</f>
        <v>8</v>
      </c>
      <c r="D241" s="13"/>
      <c r="E241" s="22">
        <v>8.0</v>
      </c>
      <c r="F241" s="22">
        <v>0.0</v>
      </c>
      <c r="G241" s="22">
        <v>0.0</v>
      </c>
      <c r="H241" s="22">
        <v>0.0</v>
      </c>
      <c r="I241" s="22">
        <v>0.0</v>
      </c>
      <c r="J241" s="22">
        <v>0.0</v>
      </c>
      <c r="K241" s="22">
        <v>0.0</v>
      </c>
      <c r="L241" s="22">
        <v>0.0</v>
      </c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>
      <c r="A242" s="49">
        <v>2.0</v>
      </c>
      <c r="B242" s="49" t="s">
        <v>14</v>
      </c>
      <c r="C242" s="50">
        <f t="shared" si="21"/>
        <v>0</v>
      </c>
      <c r="D242" s="13"/>
      <c r="E242" s="49">
        <v>0.0</v>
      </c>
      <c r="F242" s="49">
        <v>0.0</v>
      </c>
      <c r="G242" s="49">
        <v>0.0</v>
      </c>
      <c r="H242" s="49">
        <v>0.0</v>
      </c>
      <c r="I242" s="49">
        <v>0.0</v>
      </c>
      <c r="J242" s="49">
        <v>0.0</v>
      </c>
      <c r="K242" s="49">
        <v>0.0</v>
      </c>
      <c r="L242" s="49">
        <v>0.0</v>
      </c>
      <c r="N242" s="15" t="s">
        <v>0</v>
      </c>
    </row>
    <row r="243">
      <c r="A243" s="49">
        <v>3.0</v>
      </c>
      <c r="B243" s="49" t="s">
        <v>15</v>
      </c>
      <c r="C243" s="50">
        <f t="shared" si="21"/>
        <v>0</v>
      </c>
      <c r="D243" s="13"/>
      <c r="E243" s="49">
        <v>0.0</v>
      </c>
      <c r="F243" s="49">
        <v>0.0</v>
      </c>
      <c r="G243" s="49">
        <v>0.0</v>
      </c>
      <c r="H243" s="49">
        <v>0.0</v>
      </c>
      <c r="I243" s="49">
        <v>0.0</v>
      </c>
      <c r="J243" s="49">
        <v>0.0</v>
      </c>
      <c r="K243" s="49">
        <v>0.0</v>
      </c>
      <c r="L243" s="49">
        <v>0.0</v>
      </c>
    </row>
    <row r="244">
      <c r="A244" s="19" t="s">
        <v>93</v>
      </c>
      <c r="B244" s="3"/>
      <c r="C244" s="20">
        <f>SUM(C241:C243)</f>
        <v>8</v>
      </c>
      <c r="D244" s="21"/>
      <c r="E244" s="20">
        <f t="shared" ref="E244:L244" si="22">SUM(E241:E243)</f>
        <v>8</v>
      </c>
      <c r="F244" s="20">
        <f t="shared" si="22"/>
        <v>0</v>
      </c>
      <c r="G244" s="20">
        <f t="shared" si="22"/>
        <v>0</v>
      </c>
      <c r="H244" s="20">
        <f t="shared" si="22"/>
        <v>0</v>
      </c>
      <c r="I244" s="20">
        <f t="shared" si="22"/>
        <v>0</v>
      </c>
      <c r="J244" s="20">
        <f t="shared" si="22"/>
        <v>0</v>
      </c>
      <c r="K244" s="20">
        <f t="shared" si="22"/>
        <v>0</v>
      </c>
      <c r="L244" s="20">
        <f t="shared" si="22"/>
        <v>0</v>
      </c>
    </row>
    <row r="245">
      <c r="A245" s="2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3"/>
    </row>
    <row r="246">
      <c r="A246" s="39" t="s">
        <v>94</v>
      </c>
      <c r="B246" s="2"/>
      <c r="C246" s="3"/>
      <c r="D246" s="51"/>
      <c r="E246" s="26" t="s">
        <v>95</v>
      </c>
      <c r="F246" s="2"/>
      <c r="G246" s="2"/>
      <c r="H246" s="2"/>
      <c r="I246" s="2"/>
      <c r="J246" s="2"/>
      <c r="K246" s="2"/>
      <c r="L246" s="3"/>
    </row>
    <row r="247" ht="20.25" customHeight="1">
      <c r="A247" s="52" t="s">
        <v>5</v>
      </c>
      <c r="B247" s="22" t="s">
        <v>92</v>
      </c>
      <c r="C247" s="22" t="s">
        <v>7</v>
      </c>
      <c r="D247" s="48"/>
      <c r="E247" s="9" t="s">
        <v>8</v>
      </c>
      <c r="F247" s="9" t="s">
        <v>9</v>
      </c>
      <c r="G247" s="9" t="s">
        <v>10</v>
      </c>
      <c r="H247" s="9" t="s">
        <v>11</v>
      </c>
      <c r="I247" s="9" t="s">
        <v>12</v>
      </c>
      <c r="J247" s="9" t="s">
        <v>13</v>
      </c>
      <c r="K247" s="9" t="s">
        <v>14</v>
      </c>
      <c r="L247" s="9" t="s">
        <v>15</v>
      </c>
    </row>
    <row r="248">
      <c r="A248" s="49">
        <v>1.0</v>
      </c>
      <c r="B248" s="49" t="s">
        <v>20</v>
      </c>
      <c r="C248" s="50">
        <f t="shared" ref="C248:C250" si="23">E248+F248+G248+H248+I248+J248+K248+L248</f>
        <v>0</v>
      </c>
      <c r="D248" s="13"/>
      <c r="E248" s="49">
        <v>0.0</v>
      </c>
      <c r="F248" s="49">
        <v>0.0</v>
      </c>
      <c r="G248" s="49">
        <v>0.0</v>
      </c>
      <c r="H248" s="49">
        <v>0.0</v>
      </c>
      <c r="I248" s="49">
        <v>0.0</v>
      </c>
      <c r="J248" s="49">
        <v>0.0</v>
      </c>
      <c r="K248" s="49">
        <v>0.0</v>
      </c>
      <c r="L248" s="49">
        <v>0.0</v>
      </c>
    </row>
    <row r="249">
      <c r="A249" s="49">
        <v>2.0</v>
      </c>
      <c r="B249" s="49" t="s">
        <v>14</v>
      </c>
      <c r="C249" s="50">
        <f t="shared" si="23"/>
        <v>0</v>
      </c>
      <c r="D249" s="13"/>
      <c r="E249" s="49">
        <v>0.0</v>
      </c>
      <c r="F249" s="49">
        <v>0.0</v>
      </c>
      <c r="G249" s="49">
        <v>0.0</v>
      </c>
      <c r="H249" s="49">
        <v>0.0</v>
      </c>
      <c r="I249" s="49">
        <v>0.0</v>
      </c>
      <c r="J249" s="49">
        <v>0.0</v>
      </c>
      <c r="K249" s="49">
        <v>0.0</v>
      </c>
      <c r="L249" s="49">
        <v>0.0</v>
      </c>
    </row>
    <row r="250">
      <c r="A250" s="49">
        <v>3.0</v>
      </c>
      <c r="B250" s="49" t="s">
        <v>15</v>
      </c>
      <c r="C250" s="50">
        <f t="shared" si="23"/>
        <v>0</v>
      </c>
      <c r="D250" s="13"/>
      <c r="E250" s="49">
        <v>0.0</v>
      </c>
      <c r="F250" s="49">
        <v>0.0</v>
      </c>
      <c r="G250" s="49">
        <v>0.0</v>
      </c>
      <c r="H250" s="49">
        <v>0.0</v>
      </c>
      <c r="I250" s="49">
        <v>0.0</v>
      </c>
      <c r="J250" s="49">
        <v>0.0</v>
      </c>
      <c r="K250" s="49">
        <v>0.0</v>
      </c>
      <c r="L250" s="49">
        <v>0.0</v>
      </c>
    </row>
    <row r="251">
      <c r="A251" s="30" t="s">
        <v>96</v>
      </c>
      <c r="B251" s="3"/>
      <c r="C251" s="20">
        <f>SUM(C248:C250)</f>
        <v>0</v>
      </c>
      <c r="D251" s="21"/>
      <c r="E251" s="20">
        <f t="shared" ref="E251:L251" si="24">SUM(E248:E250)</f>
        <v>0</v>
      </c>
      <c r="F251" s="20">
        <f t="shared" si="24"/>
        <v>0</v>
      </c>
      <c r="G251" s="20">
        <f t="shared" si="24"/>
        <v>0</v>
      </c>
      <c r="H251" s="20">
        <f t="shared" si="24"/>
        <v>0</v>
      </c>
      <c r="I251" s="20">
        <f t="shared" si="24"/>
        <v>0</v>
      </c>
      <c r="J251" s="20">
        <f t="shared" si="24"/>
        <v>0</v>
      </c>
      <c r="K251" s="20">
        <f t="shared" si="24"/>
        <v>0</v>
      </c>
      <c r="L251" s="20">
        <f t="shared" si="24"/>
        <v>0</v>
      </c>
    </row>
    <row r="252">
      <c r="A252" s="45" t="s">
        <v>97</v>
      </c>
      <c r="B252" s="2"/>
      <c r="C252" s="3"/>
      <c r="D252" s="21"/>
      <c r="E252" s="20">
        <f>C244+C251</f>
        <v>8</v>
      </c>
      <c r="F252" s="46"/>
      <c r="G252" s="2"/>
      <c r="H252" s="2"/>
      <c r="I252" s="2"/>
      <c r="J252" s="2"/>
      <c r="K252" s="2"/>
      <c r="L252" s="3"/>
    </row>
    <row r="253">
      <c r="A253" s="2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3"/>
    </row>
    <row r="254">
      <c r="A254" s="35" t="s">
        <v>98</v>
      </c>
      <c r="B254" s="2"/>
      <c r="C254" s="3"/>
      <c r="D254" s="47"/>
      <c r="E254" s="6" t="s">
        <v>99</v>
      </c>
      <c r="F254" s="2"/>
      <c r="G254" s="2"/>
      <c r="H254" s="2"/>
      <c r="I254" s="2"/>
      <c r="J254" s="2"/>
      <c r="K254" s="2"/>
      <c r="L254" s="3"/>
    </row>
    <row r="255" ht="20.25" customHeight="1">
      <c r="A255" s="52" t="s">
        <v>5</v>
      </c>
      <c r="B255" s="52" t="s">
        <v>100</v>
      </c>
      <c r="C255" s="52" t="s">
        <v>7</v>
      </c>
      <c r="D255" s="53"/>
      <c r="E255" s="54" t="s">
        <v>8</v>
      </c>
      <c r="F255" s="54" t="s">
        <v>9</v>
      </c>
      <c r="G255" s="54" t="s">
        <v>10</v>
      </c>
      <c r="H255" s="54" t="s">
        <v>11</v>
      </c>
      <c r="I255" s="54" t="s">
        <v>12</v>
      </c>
      <c r="J255" s="54" t="s">
        <v>13</v>
      </c>
      <c r="K255" s="54" t="s">
        <v>14</v>
      </c>
      <c r="L255" s="54" t="s">
        <v>15</v>
      </c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</row>
    <row r="256">
      <c r="A256" s="49">
        <v>1.0</v>
      </c>
      <c r="B256" s="49" t="s">
        <v>18</v>
      </c>
      <c r="C256" s="50">
        <f t="shared" ref="C256:C258" si="25">E256+F256+G256+H256+I256+J256+K256+L256</f>
        <v>178</v>
      </c>
      <c r="D256" s="13"/>
      <c r="E256" s="49">
        <v>0.0</v>
      </c>
      <c r="F256" s="49">
        <v>178.0</v>
      </c>
      <c r="G256" s="49">
        <v>0.0</v>
      </c>
      <c r="H256" s="49">
        <v>0.0</v>
      </c>
      <c r="I256" s="49">
        <v>0.0</v>
      </c>
      <c r="J256" s="49">
        <v>0.0</v>
      </c>
      <c r="K256" s="49">
        <v>0.0</v>
      </c>
      <c r="L256" s="49">
        <v>0.0</v>
      </c>
    </row>
    <row r="257">
      <c r="A257" s="49">
        <v>2.0</v>
      </c>
      <c r="B257" s="49" t="s">
        <v>14</v>
      </c>
      <c r="C257" s="50">
        <f t="shared" si="25"/>
        <v>0</v>
      </c>
      <c r="D257" s="13"/>
      <c r="E257" s="49">
        <v>0.0</v>
      </c>
      <c r="F257" s="49">
        <v>0.0</v>
      </c>
      <c r="G257" s="49">
        <v>0.0</v>
      </c>
      <c r="H257" s="49">
        <v>0.0</v>
      </c>
      <c r="I257" s="49">
        <v>0.0</v>
      </c>
      <c r="J257" s="49">
        <v>0.0</v>
      </c>
      <c r="K257" s="49">
        <v>0.0</v>
      </c>
      <c r="L257" s="49">
        <v>0.0</v>
      </c>
    </row>
    <row r="258">
      <c r="A258" s="49">
        <v>3.0</v>
      </c>
      <c r="B258" s="49" t="s">
        <v>15</v>
      </c>
      <c r="C258" s="50">
        <f t="shared" si="25"/>
        <v>0</v>
      </c>
      <c r="D258" s="13"/>
      <c r="E258" s="49">
        <v>0.0</v>
      </c>
      <c r="F258" s="49">
        <v>0.0</v>
      </c>
      <c r="G258" s="49">
        <v>0.0</v>
      </c>
      <c r="H258" s="49">
        <v>0.0</v>
      </c>
      <c r="I258" s="49">
        <v>0.0</v>
      </c>
      <c r="J258" s="49">
        <v>0.0</v>
      </c>
      <c r="K258" s="49">
        <v>0.0</v>
      </c>
      <c r="L258" s="49">
        <v>0.0</v>
      </c>
    </row>
    <row r="259">
      <c r="A259" s="19" t="s">
        <v>101</v>
      </c>
      <c r="B259" s="3"/>
      <c r="C259" s="20">
        <f>SUM(C256:C258)</f>
        <v>178</v>
      </c>
      <c r="D259" s="21"/>
      <c r="E259" s="20">
        <f t="shared" ref="E259:L259" si="26">SUM(E256:E258)</f>
        <v>0</v>
      </c>
      <c r="F259" s="20">
        <f t="shared" si="26"/>
        <v>178</v>
      </c>
      <c r="G259" s="20">
        <f t="shared" si="26"/>
        <v>0</v>
      </c>
      <c r="H259" s="20">
        <f t="shared" si="26"/>
        <v>0</v>
      </c>
      <c r="I259" s="20">
        <f t="shared" si="26"/>
        <v>0</v>
      </c>
      <c r="J259" s="20">
        <f t="shared" si="26"/>
        <v>0</v>
      </c>
      <c r="K259" s="20">
        <f t="shared" si="26"/>
        <v>0</v>
      </c>
      <c r="L259" s="20">
        <f t="shared" si="26"/>
        <v>0</v>
      </c>
    </row>
    <row r="260">
      <c r="A260" s="2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3"/>
    </row>
    <row r="261">
      <c r="A261" s="39" t="s">
        <v>102</v>
      </c>
      <c r="B261" s="2"/>
      <c r="C261" s="3"/>
      <c r="D261" s="51"/>
      <c r="E261" s="26" t="s">
        <v>103</v>
      </c>
      <c r="F261" s="2"/>
      <c r="G261" s="2"/>
      <c r="H261" s="2"/>
      <c r="I261" s="2"/>
      <c r="J261" s="2"/>
      <c r="K261" s="2"/>
      <c r="L261" s="3"/>
    </row>
    <row r="262">
      <c r="A262" s="52" t="s">
        <v>5</v>
      </c>
      <c r="B262" s="22" t="s">
        <v>104</v>
      </c>
      <c r="C262" s="22" t="s">
        <v>7</v>
      </c>
      <c r="D262" s="48"/>
      <c r="E262" s="9" t="s">
        <v>8</v>
      </c>
      <c r="F262" s="9" t="s">
        <v>9</v>
      </c>
      <c r="G262" s="9" t="s">
        <v>10</v>
      </c>
      <c r="H262" s="9" t="s">
        <v>11</v>
      </c>
      <c r="I262" s="9" t="s">
        <v>12</v>
      </c>
      <c r="J262" s="9" t="s">
        <v>13</v>
      </c>
      <c r="K262" s="9" t="s">
        <v>14</v>
      </c>
      <c r="L262" s="9" t="s">
        <v>15</v>
      </c>
    </row>
    <row r="263">
      <c r="A263" s="49">
        <v>1.0</v>
      </c>
      <c r="B263" s="49" t="s">
        <v>18</v>
      </c>
      <c r="C263" s="50">
        <f t="shared" ref="C263:C265" si="27">E263+F263+G263+H263+I263+J263+K263+L263</f>
        <v>0</v>
      </c>
      <c r="D263" s="13"/>
      <c r="E263" s="49">
        <v>0.0</v>
      </c>
      <c r="F263" s="49">
        <v>0.0</v>
      </c>
      <c r="G263" s="49">
        <v>0.0</v>
      </c>
      <c r="H263" s="49">
        <v>0.0</v>
      </c>
      <c r="I263" s="49">
        <v>0.0</v>
      </c>
      <c r="J263" s="49">
        <v>0.0</v>
      </c>
      <c r="K263" s="49">
        <v>0.0</v>
      </c>
      <c r="L263" s="49">
        <v>0.0</v>
      </c>
    </row>
    <row r="264">
      <c r="A264" s="49">
        <v>2.0</v>
      </c>
      <c r="B264" s="49" t="s">
        <v>14</v>
      </c>
      <c r="C264" s="50">
        <f t="shared" si="27"/>
        <v>0</v>
      </c>
      <c r="D264" s="13"/>
      <c r="E264" s="49">
        <v>0.0</v>
      </c>
      <c r="F264" s="49">
        <v>0.0</v>
      </c>
      <c r="G264" s="49">
        <v>0.0</v>
      </c>
      <c r="H264" s="49">
        <v>0.0</v>
      </c>
      <c r="I264" s="49">
        <v>0.0</v>
      </c>
      <c r="J264" s="49">
        <v>0.0</v>
      </c>
      <c r="K264" s="49">
        <v>0.0</v>
      </c>
      <c r="L264" s="49">
        <v>0.0</v>
      </c>
    </row>
    <row r="265">
      <c r="A265" s="49">
        <v>3.0</v>
      </c>
      <c r="B265" s="49" t="s">
        <v>15</v>
      </c>
      <c r="C265" s="50">
        <f t="shared" si="27"/>
        <v>0</v>
      </c>
      <c r="D265" s="13"/>
      <c r="E265" s="49">
        <v>0.0</v>
      </c>
      <c r="F265" s="49">
        <v>0.0</v>
      </c>
      <c r="G265" s="49">
        <v>0.0</v>
      </c>
      <c r="H265" s="49">
        <v>0.0</v>
      </c>
      <c r="I265" s="49">
        <v>0.0</v>
      </c>
      <c r="J265" s="49">
        <v>0.0</v>
      </c>
      <c r="K265" s="49">
        <v>0.0</v>
      </c>
      <c r="L265" s="49">
        <v>0.0</v>
      </c>
    </row>
    <row r="266">
      <c r="A266" s="30" t="s">
        <v>105</v>
      </c>
      <c r="B266" s="3"/>
      <c r="C266" s="20">
        <f>SUM(C263:C265)</f>
        <v>0</v>
      </c>
      <c r="D266" s="21"/>
      <c r="E266" s="20">
        <f t="shared" ref="E266:L266" si="28">SUM(E263:E265)</f>
        <v>0</v>
      </c>
      <c r="F266" s="20">
        <f t="shared" si="28"/>
        <v>0</v>
      </c>
      <c r="G266" s="20">
        <f t="shared" si="28"/>
        <v>0</v>
      </c>
      <c r="H266" s="20">
        <f t="shared" si="28"/>
        <v>0</v>
      </c>
      <c r="I266" s="20">
        <f t="shared" si="28"/>
        <v>0</v>
      </c>
      <c r="J266" s="20">
        <f t="shared" si="28"/>
        <v>0</v>
      </c>
      <c r="K266" s="20">
        <f t="shared" si="28"/>
        <v>0</v>
      </c>
      <c r="L266" s="20">
        <f t="shared" si="28"/>
        <v>0</v>
      </c>
    </row>
    <row r="267">
      <c r="A267" s="45" t="s">
        <v>124</v>
      </c>
      <c r="B267" s="2"/>
      <c r="C267" s="3"/>
      <c r="D267" s="21"/>
      <c r="E267" s="22">
        <v>178.0</v>
      </c>
      <c r="F267" s="46"/>
      <c r="G267" s="2"/>
      <c r="H267" s="2"/>
      <c r="I267" s="2"/>
      <c r="J267" s="2"/>
      <c r="K267" s="2"/>
      <c r="L267" s="3"/>
    </row>
    <row r="268">
      <c r="A268" s="2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3"/>
    </row>
    <row r="269">
      <c r="A269" s="35" t="s">
        <v>106</v>
      </c>
      <c r="B269" s="2"/>
      <c r="C269" s="3"/>
      <c r="D269" s="47"/>
      <c r="E269" s="6" t="s">
        <v>107</v>
      </c>
      <c r="F269" s="2"/>
      <c r="G269" s="2"/>
      <c r="H269" s="2"/>
      <c r="I269" s="2"/>
      <c r="J269" s="2"/>
      <c r="K269" s="2"/>
      <c r="L269" s="3"/>
    </row>
    <row r="270" ht="17.25" customHeight="1">
      <c r="A270" s="22" t="s">
        <v>5</v>
      </c>
      <c r="B270" s="22" t="s">
        <v>108</v>
      </c>
      <c r="C270" s="22" t="s">
        <v>7</v>
      </c>
      <c r="D270" s="48"/>
      <c r="E270" s="9" t="s">
        <v>8</v>
      </c>
      <c r="F270" s="9" t="s">
        <v>9</v>
      </c>
      <c r="G270" s="9" t="s">
        <v>10</v>
      </c>
      <c r="H270" s="9" t="s">
        <v>11</v>
      </c>
      <c r="I270" s="9" t="s">
        <v>12</v>
      </c>
      <c r="J270" s="9" t="s">
        <v>13</v>
      </c>
      <c r="K270" s="9" t="s">
        <v>14</v>
      </c>
      <c r="L270" s="9" t="s">
        <v>15</v>
      </c>
    </row>
    <row r="271">
      <c r="A271" s="49">
        <v>1.0</v>
      </c>
      <c r="B271" s="49" t="s">
        <v>109</v>
      </c>
      <c r="C271" s="50">
        <f t="shared" ref="C271:C273" si="29">E271+F271+G271+H271+I271+J271+K271+L271</f>
        <v>0</v>
      </c>
      <c r="D271" s="13"/>
      <c r="E271" s="49">
        <v>0.0</v>
      </c>
      <c r="F271" s="49">
        <v>0.0</v>
      </c>
      <c r="G271" s="49">
        <v>0.0</v>
      </c>
      <c r="H271" s="49">
        <v>0.0</v>
      </c>
      <c r="I271" s="49">
        <v>0.0</v>
      </c>
      <c r="J271" s="49">
        <v>0.0</v>
      </c>
      <c r="K271" s="49">
        <v>0.0</v>
      </c>
      <c r="L271" s="49">
        <v>0.0</v>
      </c>
    </row>
    <row r="272">
      <c r="A272" s="49">
        <v>2.0</v>
      </c>
      <c r="B272" s="49" t="s">
        <v>14</v>
      </c>
      <c r="C272" s="50">
        <f t="shared" si="29"/>
        <v>0</v>
      </c>
      <c r="D272" s="13"/>
      <c r="E272" s="49">
        <v>0.0</v>
      </c>
      <c r="F272" s="49">
        <v>0.0</v>
      </c>
      <c r="G272" s="49">
        <v>0.0</v>
      </c>
      <c r="H272" s="49">
        <v>0.0</v>
      </c>
      <c r="I272" s="49">
        <v>0.0</v>
      </c>
      <c r="J272" s="49">
        <v>0.0</v>
      </c>
      <c r="K272" s="49">
        <v>0.0</v>
      </c>
      <c r="L272" s="49">
        <v>0.0</v>
      </c>
    </row>
    <row r="273">
      <c r="A273" s="49">
        <v>3.0</v>
      </c>
      <c r="B273" s="49" t="s">
        <v>15</v>
      </c>
      <c r="C273" s="50">
        <f t="shared" si="29"/>
        <v>0</v>
      </c>
      <c r="D273" s="13"/>
      <c r="E273" s="49">
        <v>0.0</v>
      </c>
      <c r="F273" s="49">
        <v>0.0</v>
      </c>
      <c r="G273" s="49">
        <v>0.0</v>
      </c>
      <c r="H273" s="49">
        <v>0.0</v>
      </c>
      <c r="I273" s="49">
        <v>0.0</v>
      </c>
      <c r="J273" s="49">
        <v>0.0</v>
      </c>
      <c r="K273" s="49">
        <v>0.0</v>
      </c>
      <c r="L273" s="49">
        <v>0.0</v>
      </c>
    </row>
    <row r="274">
      <c r="A274" s="19" t="s">
        <v>110</v>
      </c>
      <c r="B274" s="3"/>
      <c r="C274" s="20">
        <f>SUM(C271:C273)</f>
        <v>0</v>
      </c>
      <c r="D274" s="21"/>
      <c r="E274" s="20">
        <f t="shared" ref="E274:L274" si="30">SUM(E271:E273)</f>
        <v>0</v>
      </c>
      <c r="F274" s="20">
        <f t="shared" si="30"/>
        <v>0</v>
      </c>
      <c r="G274" s="20">
        <f t="shared" si="30"/>
        <v>0</v>
      </c>
      <c r="H274" s="20">
        <f t="shared" si="30"/>
        <v>0</v>
      </c>
      <c r="I274" s="20">
        <f t="shared" si="30"/>
        <v>0</v>
      </c>
      <c r="J274" s="20">
        <f t="shared" si="30"/>
        <v>0</v>
      </c>
      <c r="K274" s="20">
        <f t="shared" si="30"/>
        <v>0</v>
      </c>
      <c r="L274" s="20">
        <f t="shared" si="30"/>
        <v>0</v>
      </c>
    </row>
    <row r="275">
      <c r="A275" s="2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3"/>
    </row>
    <row r="276">
      <c r="A276" s="39" t="s">
        <v>111</v>
      </c>
      <c r="B276" s="2"/>
      <c r="C276" s="3"/>
      <c r="D276" s="51"/>
      <c r="E276" s="26" t="s">
        <v>112</v>
      </c>
      <c r="F276" s="2"/>
      <c r="G276" s="2"/>
      <c r="H276" s="2"/>
      <c r="I276" s="2"/>
      <c r="J276" s="2"/>
      <c r="K276" s="2"/>
      <c r="L276" s="3"/>
    </row>
    <row r="277" ht="19.5" customHeight="1">
      <c r="A277" s="52" t="s">
        <v>5</v>
      </c>
      <c r="B277" s="22" t="s">
        <v>113</v>
      </c>
      <c r="C277" s="22" t="s">
        <v>7</v>
      </c>
      <c r="D277" s="48"/>
      <c r="E277" s="9" t="s">
        <v>8</v>
      </c>
      <c r="F277" s="9" t="s">
        <v>9</v>
      </c>
      <c r="G277" s="9" t="s">
        <v>10</v>
      </c>
      <c r="H277" s="9" t="s">
        <v>11</v>
      </c>
      <c r="I277" s="9" t="s">
        <v>12</v>
      </c>
      <c r="J277" s="9" t="s">
        <v>13</v>
      </c>
      <c r="K277" s="9" t="s">
        <v>14</v>
      </c>
      <c r="L277" s="9" t="s">
        <v>15</v>
      </c>
    </row>
    <row r="278">
      <c r="A278" s="49">
        <v>1.0</v>
      </c>
      <c r="B278" s="49" t="s">
        <v>34</v>
      </c>
      <c r="C278" s="50">
        <f t="shared" ref="C278:C280" si="31">E278+F278+G278+H278+I278+J278+K278+L278</f>
        <v>15</v>
      </c>
      <c r="D278" s="13"/>
      <c r="E278" s="49">
        <v>0.0</v>
      </c>
      <c r="F278" s="49">
        <v>15.0</v>
      </c>
      <c r="G278" s="49">
        <v>0.0</v>
      </c>
      <c r="H278" s="49">
        <v>0.0</v>
      </c>
      <c r="I278" s="49">
        <v>0.0</v>
      </c>
      <c r="J278" s="49">
        <v>0.0</v>
      </c>
      <c r="K278" s="49">
        <v>0.0</v>
      </c>
      <c r="L278" s="49">
        <v>0.0</v>
      </c>
    </row>
    <row r="279">
      <c r="A279" s="49">
        <v>2.0</v>
      </c>
      <c r="B279" s="49" t="s">
        <v>14</v>
      </c>
      <c r="C279" s="50">
        <f t="shared" si="31"/>
        <v>0</v>
      </c>
      <c r="D279" s="13"/>
      <c r="E279" s="49">
        <v>0.0</v>
      </c>
      <c r="F279" s="49">
        <v>0.0</v>
      </c>
      <c r="G279" s="49">
        <v>0.0</v>
      </c>
      <c r="H279" s="49">
        <v>0.0</v>
      </c>
      <c r="I279" s="49">
        <v>0.0</v>
      </c>
      <c r="J279" s="49">
        <v>0.0</v>
      </c>
      <c r="K279" s="49">
        <v>0.0</v>
      </c>
      <c r="L279" s="49">
        <v>0.0</v>
      </c>
    </row>
    <row r="280">
      <c r="A280" s="49">
        <v>3.0</v>
      </c>
      <c r="B280" s="49" t="s">
        <v>15</v>
      </c>
      <c r="C280" s="50">
        <f t="shared" si="31"/>
        <v>0</v>
      </c>
      <c r="D280" s="13"/>
      <c r="E280" s="49">
        <v>0.0</v>
      </c>
      <c r="F280" s="49">
        <v>0.0</v>
      </c>
      <c r="G280" s="49">
        <v>0.0</v>
      </c>
      <c r="H280" s="49">
        <v>0.0</v>
      </c>
      <c r="I280" s="49">
        <v>0.0</v>
      </c>
      <c r="J280" s="49">
        <v>0.0</v>
      </c>
      <c r="K280" s="49">
        <v>0.0</v>
      </c>
      <c r="L280" s="49">
        <v>0.0</v>
      </c>
    </row>
    <row r="281">
      <c r="A281" s="30" t="s">
        <v>114</v>
      </c>
      <c r="B281" s="3"/>
      <c r="C281" s="20">
        <f>SUM(C278:C280)</f>
        <v>15</v>
      </c>
      <c r="D281" s="21"/>
      <c r="E281" s="20">
        <f t="shared" ref="E281:L281" si="32">SUM(E278:E280)</f>
        <v>0</v>
      </c>
      <c r="F281" s="20">
        <f t="shared" si="32"/>
        <v>15</v>
      </c>
      <c r="G281" s="20">
        <f t="shared" si="32"/>
        <v>0</v>
      </c>
      <c r="H281" s="20">
        <f t="shared" si="32"/>
        <v>0</v>
      </c>
      <c r="I281" s="20">
        <f t="shared" si="32"/>
        <v>0</v>
      </c>
      <c r="J281" s="20">
        <f t="shared" si="32"/>
        <v>0</v>
      </c>
      <c r="K281" s="20">
        <f t="shared" si="32"/>
        <v>0</v>
      </c>
      <c r="L281" s="20">
        <f t="shared" si="32"/>
        <v>0</v>
      </c>
    </row>
    <row r="282">
      <c r="A282" s="56" t="s">
        <v>115</v>
      </c>
      <c r="B282" s="2"/>
      <c r="C282" s="3"/>
      <c r="D282" s="57"/>
      <c r="E282" s="20">
        <f>C274+C281</f>
        <v>15</v>
      </c>
      <c r="F282" s="23"/>
      <c r="G282" s="2"/>
      <c r="H282" s="2"/>
      <c r="I282" s="2"/>
      <c r="J282" s="2"/>
      <c r="K282" s="2"/>
      <c r="L282" s="3"/>
    </row>
    <row r="283">
      <c r="A283" s="2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3"/>
    </row>
    <row r="284">
      <c r="A284" s="58" t="s">
        <v>116</v>
      </c>
      <c r="B284" s="2"/>
      <c r="C284" s="2"/>
      <c r="D284" s="2"/>
      <c r="E284" s="3"/>
    </row>
    <row r="285">
      <c r="A285" s="58" t="s">
        <v>118</v>
      </c>
      <c r="B285" s="2"/>
      <c r="C285" s="3"/>
      <c r="D285" s="59"/>
      <c r="E285" s="60" t="s">
        <v>119</v>
      </c>
    </row>
    <row r="286">
      <c r="A286" s="63" t="s">
        <v>53</v>
      </c>
      <c r="B286" s="2"/>
      <c r="C286" s="2"/>
      <c r="D286" s="64"/>
      <c r="E286" s="65">
        <f>E69</f>
        <v>8805</v>
      </c>
    </row>
    <row r="287">
      <c r="A287" s="63" t="s">
        <v>64</v>
      </c>
      <c r="B287" s="2"/>
      <c r="C287" s="2"/>
      <c r="D287" s="64"/>
      <c r="E287" s="65">
        <f>E138</f>
        <v>413</v>
      </c>
      <c r="M287" s="15"/>
    </row>
    <row r="288">
      <c r="A288" s="63" t="s">
        <v>73</v>
      </c>
      <c r="B288" s="2"/>
      <c r="C288" s="2"/>
      <c r="D288" s="64"/>
      <c r="E288" s="65">
        <f>E207</f>
        <v>192</v>
      </c>
    </row>
    <row r="289">
      <c r="A289" s="66" t="s">
        <v>125</v>
      </c>
      <c r="B289" s="2"/>
      <c r="C289" s="3"/>
      <c r="D289" s="64"/>
      <c r="E289" s="65">
        <f>E222+E237+E252+E267+E282</f>
        <v>209</v>
      </c>
    </row>
    <row r="290">
      <c r="A290" s="68" t="s">
        <v>127</v>
      </c>
      <c r="B290" s="2"/>
      <c r="C290" s="3"/>
      <c r="D290" s="64"/>
      <c r="E290" s="59">
        <f>SUM(E286:E289)</f>
        <v>9619</v>
      </c>
    </row>
    <row r="291">
      <c r="A291" s="70"/>
    </row>
    <row r="292">
      <c r="A292" s="58" t="s">
        <v>129</v>
      </c>
      <c r="B292" s="2"/>
      <c r="C292" s="2"/>
      <c r="D292" s="3"/>
      <c r="E292" s="60" t="s">
        <v>130</v>
      </c>
    </row>
    <row r="293">
      <c r="A293" s="71" t="s">
        <v>131</v>
      </c>
      <c r="B293" s="2"/>
      <c r="C293" s="2"/>
      <c r="D293" s="3"/>
      <c r="E293" s="60">
        <v>7789.0</v>
      </c>
      <c r="F293" s="72" t="s">
        <v>118</v>
      </c>
      <c r="G293" s="2"/>
      <c r="H293" s="3"/>
    </row>
    <row r="294">
      <c r="A294" s="71" t="s">
        <v>132</v>
      </c>
      <c r="B294" s="2"/>
      <c r="C294" s="2"/>
      <c r="D294" s="3"/>
      <c r="E294" s="73">
        <v>616.0</v>
      </c>
      <c r="F294" s="12" t="s">
        <v>133</v>
      </c>
      <c r="G294" s="12" t="s">
        <v>134</v>
      </c>
      <c r="H294" s="12" t="s">
        <v>135</v>
      </c>
    </row>
    <row r="295">
      <c r="A295" s="71" t="s">
        <v>136</v>
      </c>
      <c r="B295" s="2"/>
      <c r="C295" s="2"/>
      <c r="D295" s="3"/>
      <c r="E295" s="73">
        <v>400.0</v>
      </c>
      <c r="F295" s="12">
        <v>0.0</v>
      </c>
      <c r="G295" s="12">
        <v>0.0</v>
      </c>
      <c r="H295" s="12">
        <v>0.0</v>
      </c>
    </row>
    <row r="296">
      <c r="A296" s="71" t="s">
        <v>137</v>
      </c>
      <c r="B296" s="2"/>
      <c r="C296" s="2"/>
      <c r="D296" s="3"/>
      <c r="E296" s="73">
        <v>106.0</v>
      </c>
      <c r="F296" s="12">
        <v>0.0</v>
      </c>
      <c r="G296" s="12">
        <v>0.0</v>
      </c>
      <c r="H296" s="12">
        <v>0.0</v>
      </c>
    </row>
    <row r="297">
      <c r="A297" s="71" t="s">
        <v>138</v>
      </c>
      <c r="B297" s="2"/>
      <c r="C297" s="2"/>
      <c r="D297" s="3"/>
      <c r="E297" s="73">
        <v>1204.0</v>
      </c>
      <c r="F297" s="12">
        <v>0.0</v>
      </c>
      <c r="G297" s="12">
        <v>0.0</v>
      </c>
      <c r="H297" s="12">
        <v>0.0</v>
      </c>
      <c r="Q297" s="74"/>
    </row>
    <row r="298">
      <c r="A298" s="71" t="s">
        <v>139</v>
      </c>
      <c r="B298" s="2"/>
      <c r="C298" s="2"/>
      <c r="D298" s="3"/>
      <c r="E298" s="60">
        <v>315.0</v>
      </c>
      <c r="F298" s="12">
        <v>0.0</v>
      </c>
      <c r="G298" s="12">
        <v>0.0</v>
      </c>
      <c r="H298" s="12">
        <v>0.0</v>
      </c>
      <c r="Q298" s="74"/>
    </row>
    <row r="299">
      <c r="A299" s="56" t="s">
        <v>140</v>
      </c>
      <c r="B299" s="2"/>
      <c r="C299" s="2"/>
      <c r="D299" s="3"/>
      <c r="E299" s="60">
        <f>SUM(E293:E298)</f>
        <v>10430</v>
      </c>
      <c r="F299" s="75">
        <f t="shared" ref="F299:H299" si="33">SUM(F295:F298)</f>
        <v>0</v>
      </c>
      <c r="G299" s="75">
        <f t="shared" si="33"/>
        <v>0</v>
      </c>
      <c r="H299" s="75">
        <f t="shared" si="33"/>
        <v>0</v>
      </c>
      <c r="Q299" s="74"/>
    </row>
    <row r="300">
      <c r="A300" s="76" t="s">
        <v>141</v>
      </c>
      <c r="B300" s="2"/>
      <c r="C300" s="2"/>
      <c r="D300" s="3"/>
      <c r="E300" s="7">
        <v>0.0</v>
      </c>
      <c r="F300" s="12">
        <v>0.0</v>
      </c>
      <c r="G300" s="12">
        <v>0.0</v>
      </c>
      <c r="H300" s="12">
        <v>0.0</v>
      </c>
      <c r="Q300" s="74"/>
    </row>
    <row r="301">
      <c r="A301" s="76" t="s">
        <v>142</v>
      </c>
      <c r="B301" s="2"/>
      <c r="C301" s="2"/>
      <c r="D301" s="3"/>
      <c r="E301" s="7">
        <v>504.0</v>
      </c>
      <c r="F301" s="12">
        <v>242.0</v>
      </c>
      <c r="G301" s="12">
        <v>160.0</v>
      </c>
      <c r="H301" s="12">
        <v>102.0</v>
      </c>
      <c r="Q301" s="74"/>
    </row>
    <row r="302">
      <c r="A302" s="76" t="s">
        <v>143</v>
      </c>
      <c r="B302" s="2"/>
      <c r="C302" s="2"/>
      <c r="D302" s="3"/>
      <c r="E302" s="7">
        <v>307.0</v>
      </c>
      <c r="F302" s="12">
        <v>116.0</v>
      </c>
      <c r="G302" s="12">
        <v>65.0</v>
      </c>
      <c r="H302" s="12">
        <v>26.0</v>
      </c>
      <c r="Q302" s="74"/>
    </row>
    <row r="303">
      <c r="A303" s="76" t="s">
        <v>144</v>
      </c>
      <c r="B303" s="2"/>
      <c r="C303" s="2"/>
      <c r="D303" s="3"/>
      <c r="E303" s="77">
        <f>E299-E300-E301-E302</f>
        <v>9619</v>
      </c>
      <c r="F303" s="57"/>
      <c r="G303" s="57"/>
      <c r="H303" s="57"/>
      <c r="Q303" s="78"/>
    </row>
    <row r="306">
      <c r="A306" s="57"/>
      <c r="B306" s="23"/>
      <c r="C306" s="2"/>
      <c r="D306" s="2"/>
      <c r="E306" s="2"/>
      <c r="F306" s="3"/>
      <c r="G306" s="23"/>
      <c r="H306" s="3"/>
    </row>
    <row r="307">
      <c r="A307" s="12"/>
      <c r="B307" s="72" t="s">
        <v>145</v>
      </c>
      <c r="C307" s="2"/>
      <c r="D307" s="2"/>
      <c r="E307" s="2"/>
      <c r="F307" s="3"/>
      <c r="G307" s="72" t="s">
        <v>146</v>
      </c>
      <c r="H307" s="3"/>
    </row>
    <row r="308">
      <c r="A308" s="12"/>
      <c r="B308" s="72" t="s">
        <v>147</v>
      </c>
      <c r="C308" s="2"/>
      <c r="D308" s="2"/>
      <c r="E308" s="2"/>
      <c r="F308" s="3"/>
      <c r="G308" s="72">
        <v>3574026.0</v>
      </c>
      <c r="H308" s="3"/>
    </row>
    <row r="309">
      <c r="A309" s="12"/>
      <c r="B309" s="72" t="s">
        <v>148</v>
      </c>
      <c r="C309" s="2"/>
      <c r="D309" s="2"/>
      <c r="E309" s="2"/>
      <c r="F309" s="3"/>
      <c r="G309" s="72">
        <v>888888.0</v>
      </c>
      <c r="H309" s="3"/>
    </row>
    <row r="310">
      <c r="A310" s="75"/>
      <c r="B310" s="72" t="s">
        <v>149</v>
      </c>
      <c r="C310" s="2"/>
      <c r="D310" s="2"/>
      <c r="E310" s="2"/>
      <c r="F310" s="3"/>
      <c r="G310" s="72">
        <v>905520.0</v>
      </c>
      <c r="H310" s="3"/>
    </row>
    <row r="311">
      <c r="A311" s="75"/>
      <c r="B311" s="72" t="s">
        <v>168</v>
      </c>
      <c r="C311" s="2"/>
      <c r="D311" s="2"/>
      <c r="E311" s="2"/>
      <c r="F311" s="3"/>
      <c r="G311" s="79">
        <v>1300618.0</v>
      </c>
      <c r="H311" s="3"/>
    </row>
    <row r="312">
      <c r="A312" s="75"/>
      <c r="B312" s="72" t="s">
        <v>151</v>
      </c>
      <c r="C312" s="2"/>
      <c r="D312" s="2"/>
      <c r="E312" s="2"/>
      <c r="F312" s="3"/>
      <c r="G312" s="72">
        <v>356500.0</v>
      </c>
      <c r="H312" s="3"/>
    </row>
    <row r="313">
      <c r="A313" s="75"/>
      <c r="B313" s="72" t="s">
        <v>152</v>
      </c>
      <c r="C313" s="2"/>
      <c r="D313" s="2"/>
      <c r="E313" s="2"/>
      <c r="F313" s="3"/>
      <c r="G313" s="34">
        <f>SUM(G308:H312)</f>
        <v>7025552</v>
      </c>
      <c r="H313" s="3"/>
    </row>
    <row r="314">
      <c r="A314" s="75"/>
      <c r="B314" s="34"/>
      <c r="C314" s="2"/>
      <c r="D314" s="2"/>
      <c r="E314" s="2"/>
      <c r="F314" s="3"/>
      <c r="G314" s="34"/>
      <c r="H314" s="3"/>
    </row>
    <row r="315">
      <c r="A315" s="75"/>
      <c r="B315" s="72" t="s">
        <v>153</v>
      </c>
      <c r="C315" s="2"/>
      <c r="D315" s="2"/>
      <c r="E315" s="2"/>
      <c r="F315" s="3"/>
      <c r="G315" s="72"/>
      <c r="H315" s="3"/>
    </row>
    <row r="316">
      <c r="A316" s="75"/>
      <c r="B316" s="72" t="s">
        <v>154</v>
      </c>
      <c r="C316" s="2"/>
      <c r="D316" s="2"/>
      <c r="E316" s="2"/>
      <c r="F316" s="3"/>
      <c r="G316" s="72">
        <v>5184625.0</v>
      </c>
      <c r="H316" s="3"/>
    </row>
    <row r="317">
      <c r="A317" s="75"/>
      <c r="B317" s="72" t="s">
        <v>155</v>
      </c>
      <c r="C317" s="2"/>
      <c r="D317" s="2"/>
      <c r="E317" s="2"/>
      <c r="F317" s="3"/>
      <c r="G317" s="72">
        <v>580134.0</v>
      </c>
      <c r="H317" s="3"/>
    </row>
    <row r="318">
      <c r="A318" s="57"/>
      <c r="B318" s="72" t="s">
        <v>169</v>
      </c>
      <c r="C318" s="2"/>
      <c r="D318" s="2"/>
      <c r="E318" s="2"/>
      <c r="F318" s="3"/>
      <c r="G318" s="72">
        <v>1400000.0</v>
      </c>
      <c r="H318" s="3"/>
    </row>
    <row r="319">
      <c r="A319" s="57"/>
      <c r="B319" s="72" t="s">
        <v>157</v>
      </c>
      <c r="C319" s="2"/>
      <c r="D319" s="2"/>
      <c r="E319" s="2"/>
      <c r="F319" s="3"/>
      <c r="G319" s="72">
        <v>385000.0</v>
      </c>
      <c r="H319" s="3"/>
    </row>
    <row r="320">
      <c r="A320" s="57"/>
      <c r="B320" s="72" t="s">
        <v>158</v>
      </c>
      <c r="C320" s="2"/>
      <c r="D320" s="2"/>
      <c r="E320" s="2"/>
      <c r="F320" s="3"/>
      <c r="G320" s="72">
        <v>636500.0</v>
      </c>
      <c r="H320" s="3"/>
    </row>
    <row r="321">
      <c r="A321" s="57"/>
      <c r="B321" s="72" t="s">
        <v>159</v>
      </c>
      <c r="C321" s="2"/>
      <c r="D321" s="2"/>
      <c r="E321" s="2"/>
      <c r="F321" s="3"/>
      <c r="G321" s="34">
        <f>SUM(G316:H320)</f>
        <v>8186259</v>
      </c>
      <c r="H321" s="3"/>
    </row>
    <row r="323">
      <c r="A323" s="80" t="s">
        <v>160</v>
      </c>
      <c r="B323" s="2"/>
      <c r="C323" s="2"/>
      <c r="D323" s="2"/>
      <c r="E323" s="2"/>
      <c r="F323" s="3"/>
      <c r="G323" s="34">
        <f>G313-G321</f>
        <v>-1160707</v>
      </c>
      <c r="H323" s="3"/>
    </row>
  </sheetData>
  <mergeCells count="154">
    <mergeCell ref="A209:C209"/>
    <mergeCell ref="A214:B214"/>
    <mergeCell ref="A215:L215"/>
    <mergeCell ref="A216:C216"/>
    <mergeCell ref="E216:L216"/>
    <mergeCell ref="A221:B221"/>
    <mergeCell ref="A222:C222"/>
    <mergeCell ref="F222:L222"/>
    <mergeCell ref="A223:L223"/>
    <mergeCell ref="A224:C224"/>
    <mergeCell ref="E224:L224"/>
    <mergeCell ref="A230:L230"/>
    <mergeCell ref="A231:C231"/>
    <mergeCell ref="E231:L231"/>
    <mergeCell ref="D232:D235"/>
    <mergeCell ref="D240:D243"/>
    <mergeCell ref="A244:B244"/>
    <mergeCell ref="A246:C246"/>
    <mergeCell ref="A229:B229"/>
    <mergeCell ref="A236:B236"/>
    <mergeCell ref="A237:C237"/>
    <mergeCell ref="F237:L237"/>
    <mergeCell ref="A238:L238"/>
    <mergeCell ref="A239:C239"/>
    <mergeCell ref="E239:L239"/>
    <mergeCell ref="F69:L69"/>
    <mergeCell ref="A70:L70"/>
    <mergeCell ref="E71:L71"/>
    <mergeCell ref="A104:L104"/>
    <mergeCell ref="E105:L105"/>
    <mergeCell ref="A1:L1"/>
    <mergeCell ref="A2:C2"/>
    <mergeCell ref="E2:L2"/>
    <mergeCell ref="A34:B34"/>
    <mergeCell ref="A35:L35"/>
    <mergeCell ref="A36:C36"/>
    <mergeCell ref="E36:L36"/>
    <mergeCell ref="A137:B137"/>
    <mergeCell ref="A138:C138"/>
    <mergeCell ref="F138:L138"/>
    <mergeCell ref="A139:L139"/>
    <mergeCell ref="A140:C140"/>
    <mergeCell ref="E140:L140"/>
    <mergeCell ref="A173:L173"/>
    <mergeCell ref="E174:L174"/>
    <mergeCell ref="D3:D33"/>
    <mergeCell ref="D37:D67"/>
    <mergeCell ref="A68:B68"/>
    <mergeCell ref="A69:C69"/>
    <mergeCell ref="A71:C71"/>
    <mergeCell ref="A103:B103"/>
    <mergeCell ref="A105:C105"/>
    <mergeCell ref="A172:B172"/>
    <mergeCell ref="A174:C174"/>
    <mergeCell ref="A206:B206"/>
    <mergeCell ref="A207:C207"/>
    <mergeCell ref="F207:L207"/>
    <mergeCell ref="A208:L208"/>
    <mergeCell ref="E209:L209"/>
    <mergeCell ref="D247:D250"/>
    <mergeCell ref="D255:D258"/>
    <mergeCell ref="A259:B259"/>
    <mergeCell ref="D72:D102"/>
    <mergeCell ref="D106:D136"/>
    <mergeCell ref="D141:D171"/>
    <mergeCell ref="D175:D205"/>
    <mergeCell ref="D210:D213"/>
    <mergeCell ref="D217:D220"/>
    <mergeCell ref="D225:D228"/>
    <mergeCell ref="A304:H305"/>
    <mergeCell ref="B306:F306"/>
    <mergeCell ref="G306:H306"/>
    <mergeCell ref="B307:F307"/>
    <mergeCell ref="G307:H307"/>
    <mergeCell ref="B308:F308"/>
    <mergeCell ref="G308:H308"/>
    <mergeCell ref="B309:F309"/>
    <mergeCell ref="G309:H309"/>
    <mergeCell ref="B310:F310"/>
    <mergeCell ref="G310:H310"/>
    <mergeCell ref="B311:F311"/>
    <mergeCell ref="G311:H311"/>
    <mergeCell ref="G312:H312"/>
    <mergeCell ref="B312:F312"/>
    <mergeCell ref="B313:F313"/>
    <mergeCell ref="G313:H313"/>
    <mergeCell ref="B314:F314"/>
    <mergeCell ref="G314:H314"/>
    <mergeCell ref="B315:F315"/>
    <mergeCell ref="G315:H315"/>
    <mergeCell ref="B319:F319"/>
    <mergeCell ref="B320:F320"/>
    <mergeCell ref="G320:H320"/>
    <mergeCell ref="B321:F321"/>
    <mergeCell ref="G321:H321"/>
    <mergeCell ref="A322:H322"/>
    <mergeCell ref="A323:F323"/>
    <mergeCell ref="G323:H323"/>
    <mergeCell ref="B316:F316"/>
    <mergeCell ref="G316:H316"/>
    <mergeCell ref="B317:F317"/>
    <mergeCell ref="G317:H317"/>
    <mergeCell ref="B318:F318"/>
    <mergeCell ref="G318:H318"/>
    <mergeCell ref="G319:H319"/>
    <mergeCell ref="A245:L245"/>
    <mergeCell ref="E246:L246"/>
    <mergeCell ref="A251:B251"/>
    <mergeCell ref="A252:C252"/>
    <mergeCell ref="F252:L252"/>
    <mergeCell ref="A253:L253"/>
    <mergeCell ref="A254:C254"/>
    <mergeCell ref="E254:L254"/>
    <mergeCell ref="A260:L260"/>
    <mergeCell ref="A261:C261"/>
    <mergeCell ref="E261:L261"/>
    <mergeCell ref="D262:D265"/>
    <mergeCell ref="A266:B266"/>
    <mergeCell ref="A267:C267"/>
    <mergeCell ref="F267:L267"/>
    <mergeCell ref="A268:L268"/>
    <mergeCell ref="A269:C269"/>
    <mergeCell ref="E269:L269"/>
    <mergeCell ref="D270:D273"/>
    <mergeCell ref="A274:B274"/>
    <mergeCell ref="A275:L275"/>
    <mergeCell ref="A276:C276"/>
    <mergeCell ref="E276:L276"/>
    <mergeCell ref="D277:D280"/>
    <mergeCell ref="A281:B281"/>
    <mergeCell ref="A282:C282"/>
    <mergeCell ref="F282:L282"/>
    <mergeCell ref="A283:L283"/>
    <mergeCell ref="A284:E284"/>
    <mergeCell ref="A285:C285"/>
    <mergeCell ref="A286:C286"/>
    <mergeCell ref="A287:C287"/>
    <mergeCell ref="A288:C288"/>
    <mergeCell ref="A289:C289"/>
    <mergeCell ref="A291:L291"/>
    <mergeCell ref="A290:C290"/>
    <mergeCell ref="A292:D292"/>
    <mergeCell ref="A293:D293"/>
    <mergeCell ref="F293:H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</mergeCells>
  <printOptions gridLines="1" horizontalCentered="1"/>
  <pageMargins bottom="0.75" footer="0.0" header="0.0" left="0.25" right="0.25" top="0.75"/>
  <pageSetup paperSize="9" cellComments="atEnd" orientation="landscape" pageOrder="overThenDown"/>
  <rowBreaks count="10" manualBreakCount="10">
    <brk man="1"/>
    <brk id="34" man="1"/>
    <brk id="290" man="1"/>
    <brk id="244" man="1"/>
    <brk id="69" man="1"/>
    <brk id="103" man="1"/>
    <brk id="282" man="1"/>
    <brk id="138" man="1"/>
    <brk id="172" man="1"/>
    <brk id="207" man="1"/>
  </rowBreaks>
  <colBreaks count="2" manualBreakCount="2">
    <brk man="1"/>
    <brk id="12" man="1"/>
  </colBreaks>
  <drawing r:id="rId1"/>
</worksheet>
</file>